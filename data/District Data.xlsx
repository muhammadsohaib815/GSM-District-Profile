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F5AABC38-3466-441A-A50D-C62A7C3F10D2}" xr6:coauthVersionLast="47" xr6:coauthVersionMax="47" xr10:uidLastSave="{00000000-0000-0000-0000-000000000000}"/>
  <bookViews>
    <workbookView xWindow="-110" yWindow="-110" windowWidth="19420" windowHeight="10420" xr2:uid="{6706ECAA-0CF5-4051-8317-41BD0113BAAA}"/>
  </bookViews>
  <sheets>
    <sheet name="GSM Districts Profile" sheetId="1" r:id="rId1"/>
  </sheets>
  <externalReferences>
    <externalReference r:id="rId2"/>
  </externalReferences>
  <definedNames>
    <definedName name="_xlnm._FilterDatabase" localSheetId="0" hidden="1">'GSM Districts Profile'!$A$1:$DT$172</definedName>
    <definedName name="a">#REF!</definedName>
    <definedName name="aa">#REF!</definedName>
    <definedName name="ABC_1">#REF!</definedName>
    <definedName name="abc_18">#REF!</definedName>
    <definedName name="abc_20">#REF!</definedName>
    <definedName name="abc_21">#REF!</definedName>
    <definedName name="ABC_4">#REF!</definedName>
    <definedName name="ABC_7">#REF!</definedName>
    <definedName name="ABC_8">#REF!</definedName>
    <definedName name="abd">#REF!</definedName>
    <definedName name="Admin">#REF!</definedName>
    <definedName name="admin_cross">#REF!</definedName>
    <definedName name="admin_cross_1">#REF!</definedName>
    <definedName name="adminfee">#REF!</definedName>
    <definedName name="adminfee1">#REF!</definedName>
    <definedName name="AJK">#REF!,#REF!</definedName>
    <definedName name="all.Regions">#REF!</definedName>
    <definedName name="as">#REF!</definedName>
    <definedName name="b">#REF!</definedName>
    <definedName name="Bal">#REF!</definedName>
    <definedName name="Balochistan1">#REF!,#REF!,#REF!,#REF!,#REF!,#REF!,#REF!,#REF!,#REF!,#REF!,#REF!,#REF!,#REF!,#REF!,#REF!,#REF!,#REF!,#REF!,#REF!,#REF!,#REF!,#REF!,#REF!,#REF!,#REF!,#REF!,#REF!,#REF!,#REF!,#REF!,#REF!,#REF!,#REF!,#REF!,#REF!,#REF!,#REF!,#REF!</definedName>
    <definedName name="Balochistan2">#REF!,#REF!,#REF!,#REF!,#REF!,#REF!,#REF!,#REF!,#REF!,#REF!,#REF!,#REF!,#REF!,#REF!,#REF!,#REF!,#REF!,#REF!,#REF!,#REF!,#REF!,#REF!,#REF!,#REF!</definedName>
    <definedName name="bb">#REF!</definedName>
    <definedName name="BUDGET">#REF!</definedName>
    <definedName name="BUDGETCURRENCYCODE1">#REF!</definedName>
    <definedName name="BUDGETCURRENCYCODE12">#REF!</definedName>
    <definedName name="BUDGETCURRENCYCODE13">#REF!</definedName>
    <definedName name="BUDGETCURRENCYCODE2">#REF!</definedName>
    <definedName name="BUDGETCURRENCYCODE3">#REF!</definedName>
    <definedName name="BUDGETCURRENCYCODE4">#REF!</definedName>
    <definedName name="BUDGETCURRENCYCODE5">#REF!</definedName>
    <definedName name="BUDGETCURRENCYCODE6">#REF!</definedName>
    <definedName name="BUDGETNAME1">#REF!</definedName>
    <definedName name="BUDGETNAME12">#REF!</definedName>
    <definedName name="BUDGETNAME13">#REF!</definedName>
    <definedName name="BUDGETNAME2">#REF!</definedName>
    <definedName name="BUDGETNAME3">#REF!</definedName>
    <definedName name="BUDGETNAME4">#REF!</definedName>
    <definedName name="BUDGETNAME5">#REF!</definedName>
    <definedName name="BUDGETNAME6">#REF!</definedName>
    <definedName name="BUDGETORG1">#REF!</definedName>
    <definedName name="BUDGETORG12">#REF!</definedName>
    <definedName name="BUDGETORG13">#REF!</definedName>
    <definedName name="BUDGETORG2">#REF!</definedName>
    <definedName name="BUDGETORG3">#REF!</definedName>
    <definedName name="BUDGETORG4">#REF!</definedName>
    <definedName name="BUDGETORG5">#REF!</definedName>
    <definedName name="BUDGETORG6">#REF!</definedName>
    <definedName name="bus_catg">#REF!</definedName>
    <definedName name="Category">#REF!</definedName>
    <definedName name="CC">#REF!</definedName>
    <definedName name="cogos_cross">#REF!</definedName>
    <definedName name="cogos_cross_1">#REF!</definedName>
    <definedName name="col_cumexp">#REF!</definedName>
    <definedName name="col_link">#REF!</definedName>
    <definedName name="col_periodexp">#REF!</definedName>
    <definedName name="commodities">#REF!</definedName>
    <definedName name="COMMODITIESLC">#REF!</definedName>
    <definedName name="COMMODITIESPC">#REF!</definedName>
    <definedName name="COMMODITIESRM">#REF!</definedName>
    <definedName name="COMMODITIESTRC">#REF!</definedName>
    <definedName name="consumer">#REF!</definedName>
    <definedName name="consumer_1">#REF!</definedName>
    <definedName name="consumer_18">#REF!</definedName>
    <definedName name="consumer_20">#REF!</definedName>
    <definedName name="consumer_21">#REF!</definedName>
    <definedName name="consumer_4">#REF!</definedName>
    <definedName name="consumer_7">#REF!</definedName>
    <definedName name="consumer_8">#REF!</definedName>
    <definedName name="ConversionUSDtoGBP">#REF!</definedName>
    <definedName name="Cost_Category2">#REF!</definedName>
    <definedName name="coureanalysis">#REF!</definedName>
    <definedName name="coureanalysis1">#REF!</definedName>
    <definedName name="dangerpay">#REF!</definedName>
    <definedName name="dangerpay.intlstaff2">#REF!</definedName>
    <definedName name="dangerpay.intlstaff3">#REF!</definedName>
    <definedName name="dangerpay.intlstaff4">#REF!</definedName>
    <definedName name="dangerpay.researcher">#REF!</definedName>
    <definedName name="_xlnm.Database">#REF!</definedName>
    <definedName name="DBNAME1">#REF!</definedName>
    <definedName name="DBNAME12">#REF!</definedName>
    <definedName name="DBNAME13">#REF!</definedName>
    <definedName name="DBNAME2">#REF!</definedName>
    <definedName name="DBNAME3">#REF!</definedName>
    <definedName name="DBNAME4">#REF!</definedName>
    <definedName name="DBNAME5">#REF!</definedName>
    <definedName name="DBNAME6">#REF!</definedName>
    <definedName name="dd">#REF!</definedName>
    <definedName name="Depo_provera">#REF!</definedName>
    <definedName name="Dept">#REF!</definedName>
    <definedName name="DesiredEvidence">#REF!</definedName>
    <definedName name="Distrib_Disc">#REF!</definedName>
    <definedName name="donors">#REF!</definedName>
    <definedName name="ECP">#REF!</definedName>
    <definedName name="eduallowance.expat1">#REF!</definedName>
    <definedName name="eduallowance.expat2">#REF!</definedName>
    <definedName name="eduallowance.expat3">#REF!</definedName>
    <definedName name="eduallowance.expat4">#REF!</definedName>
    <definedName name="education.intlstaff1">#REF!</definedName>
    <definedName name="education.intlstaff2">#REF!</definedName>
    <definedName name="education.intlstaff3">#REF!</definedName>
    <definedName name="education.intlstaff4">#REF!</definedName>
    <definedName name="education.researcher">#REF!</definedName>
    <definedName name="emp_catg">#REF!</definedName>
    <definedName name="emp_level">#REF!</definedName>
    <definedName name="emp_status">#REF!</definedName>
    <definedName name="ES">#REF!</definedName>
    <definedName name="Excel_BuiltIn_Print_Area_9">#REF!</definedName>
    <definedName name="Excel_BuiltIn_Print_Titles_9">#REF!</definedName>
    <definedName name="FATA">#REF!,#REF!,#REF!,#REF!,#REF!,#REF!,#REF!</definedName>
    <definedName name="Femiject">#REF!</definedName>
    <definedName name="ff">#REF!</definedName>
    <definedName name="fixedfee">#REF!</definedName>
    <definedName name="foreigntransferallowance">#REF!</definedName>
    <definedName name="Frequency">#REF!</definedName>
    <definedName name="GandA">#REF!</definedName>
    <definedName name="GB">#REF!,#REF!</definedName>
    <definedName name="gender">#REF!</definedName>
    <definedName name="gg">#REF!</definedName>
    <definedName name="gloi">#REF!</definedName>
    <definedName name="HIVII">#REF!</definedName>
    <definedName name="HIVOI">#REF!</definedName>
    <definedName name="HIVSDA">#REF!</definedName>
    <definedName name="HIVSource">#REF!</definedName>
    <definedName name="HSSII">#REF!</definedName>
    <definedName name="HSSOI">#REF!</definedName>
    <definedName name="HSSSDA">#REF!</definedName>
    <definedName name="HSSSource">#REF!</definedName>
    <definedName name="incentive1">#REF!</definedName>
    <definedName name="incentive2">#REF!</definedName>
    <definedName name="incresae">#REF!</definedName>
    <definedName name="IndicatorCoding">#REF!</definedName>
    <definedName name="INFLATION_YR_1">#REF!</definedName>
    <definedName name="INFLATION_YR_1_COM">#REF!</definedName>
    <definedName name="INFLATION_YR_1_SALES">#REF!</definedName>
    <definedName name="INFLATION_YR_2">#REF!</definedName>
    <definedName name="INFLATION_YR_2_COM">#REF!</definedName>
    <definedName name="INFLATION_YR_2_SALES">#REF!</definedName>
    <definedName name="INFLATION_YR_3">#REF!</definedName>
    <definedName name="INFLATION_YR_3_COM">#REF!</definedName>
    <definedName name="INFLATION_YR_3_SALES">#REF!</definedName>
    <definedName name="Instit_Disc">#REF!</definedName>
    <definedName name="intlfringe">#REF!</definedName>
    <definedName name="InvoicePI">#REF!</definedName>
    <definedName name="KPK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l">#REF!</definedName>
    <definedName name="LEVEL">#REF!</definedName>
    <definedName name="listie">#REF!</definedName>
    <definedName name="localfringe">#REF!</definedName>
    <definedName name="localinflation_yr2">#REF!</definedName>
    <definedName name="localinflation_yr3">#REF!</definedName>
    <definedName name="localinflation_yr4">#REF!</definedName>
    <definedName name="localinflation_yr5">#REF!</definedName>
    <definedName name="localinflation2">#REF!</definedName>
    <definedName name="localinflation3">#REF!</definedName>
    <definedName name="localinflation4">#REF!</definedName>
    <definedName name="localinflation5">#REF!</definedName>
    <definedName name="MacrocategoriesALL">#REF!</definedName>
    <definedName name="MalariaII">#REF!</definedName>
    <definedName name="MalariaOI">#REF!</definedName>
    <definedName name="MalariaSDA">#REF!</definedName>
    <definedName name="MalariaSource">#REF!</definedName>
    <definedName name="Master_Location">#REF!:INDEX(#REF!,COUNTA(#REF!))</definedName>
    <definedName name="medevac">#REF!</definedName>
    <definedName name="medex.expat1">#REF!</definedName>
    <definedName name="medex.expat2">#REF!</definedName>
    <definedName name="medex.expat3">#REF!</definedName>
    <definedName name="medex.expat4">#REF!</definedName>
    <definedName name="medex.sttaday">#REF!</definedName>
    <definedName name="medex.sttamonth">#REF!</definedName>
    <definedName name="NA">#REF!</definedName>
    <definedName name="National">#REF!</definedName>
    <definedName name="NewOH">#REF!</definedName>
    <definedName name="nid">#REF!</definedName>
    <definedName name="Novaject">#REF!</definedName>
    <definedName name="NOVODOL">#REF!</definedName>
    <definedName name="NUMB">#REF!</definedName>
    <definedName name="OH">#REF!</definedName>
    <definedName name="otherchrages_10">#REF!</definedName>
    <definedName name="otherincome2">#REF!</definedName>
    <definedName name="otherincome2_1">#REF!</definedName>
    <definedName name="Over_Head">#REF!</definedName>
    <definedName name="overhead">#REF!</definedName>
    <definedName name="PA">#REF!</definedName>
    <definedName name="PAM">#REF!</definedName>
    <definedName name="phrama">#REF!</definedName>
    <definedName name="phrama_1">#REF!</definedName>
    <definedName name="phrama_18">#REF!</definedName>
    <definedName name="phrama_20">#REF!</definedName>
    <definedName name="phrama_21">#REF!</definedName>
    <definedName name="phrama_4">#REF!</definedName>
    <definedName name="phrama_7">#REF!</definedName>
    <definedName name="phrama_8">#REF!</definedName>
    <definedName name="postallowance">#REF!</definedName>
    <definedName name="postallowance.expat2">#REF!</definedName>
    <definedName name="postallowance.expat3">#REF!</definedName>
    <definedName name="postallowance.expat4">#REF!</definedName>
    <definedName name="postallowance.intlstaff2">#REF!</definedName>
    <definedName name="postallowance.intlstaff3">#REF!</definedName>
    <definedName name="postallowance.intlstaff4">#REF!</definedName>
    <definedName name="postallowance.researcher">#REF!</definedName>
    <definedName name="postdifferential">#REF!</definedName>
    <definedName name="postdifferential.intlstaff2">#REF!</definedName>
    <definedName name="postdifferential.intlstaff3">#REF!</definedName>
    <definedName name="postdifferential.intlstaff4">#REF!</definedName>
    <definedName name="postdifferential.researcher">#REF!</definedName>
    <definedName name="_xlnm.Print_Area" localSheetId="0">'GSM Districts Profile'!$A$1:$B$168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cure">#REF!</definedName>
    <definedName name="procurementfee">#REF!</definedName>
    <definedName name="products">#REF!</definedName>
    <definedName name="Protect_10__Safeload">#REF!</definedName>
    <definedName name="Protect_3__3_Years">#REF!</definedName>
    <definedName name="Protect_5__Multiload">#REF!</definedName>
    <definedName name="Protect_5_Premium">#REF!</definedName>
    <definedName name="PS">#REF!</definedName>
    <definedName name="PSA">#REF!</definedName>
    <definedName name="PT">#REF!</definedName>
    <definedName name="PTM">#REF!</definedName>
    <definedName name="Punjab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Punjab2">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Punjab3">#REF!,#REF!,#REF!,#REF!,#REF!,#REF!,#REF!,#REF!,#REF!,#REF!,#REF!,#REF!,#REF!,#REF!,#REF!,#REF!,#REF!,#REF!,#REF!,#REF!</definedName>
    <definedName name="q">#REF!</definedName>
    <definedName name="qq">#REF!</definedName>
    <definedName name="rate">#REF!</definedName>
    <definedName name="rate1">#REF!</definedName>
    <definedName name="regions">#REF!</definedName>
    <definedName name="RGNZON">#REF!</definedName>
    <definedName name="s">#REF!</definedName>
    <definedName name="Sathi_3s">#REF!</definedName>
    <definedName name="Sathi_3s__Dt___Dl">#REF!</definedName>
    <definedName name="Sathi_3s__St___Rb">#REF!</definedName>
    <definedName name="Sathi_6s__Dt___Dl">#REF!</definedName>
    <definedName name="Sathi_6s__St___Rb">#REF!</definedName>
    <definedName name="Sathi12s">#REF!</definedName>
    <definedName name="Sathi6s">#REF!</definedName>
    <definedName name="SDAList">#REF!</definedName>
    <definedName name="SETOFBOOKSNAME1">#REF!</definedName>
    <definedName name="SETOFBOOKSNAME12">#REF!</definedName>
    <definedName name="SETOFBOOKSNAME13">#REF!</definedName>
    <definedName name="SETOFBOOKSNAME2">#REF!</definedName>
    <definedName name="SETOFBOOKSNAME3">#REF!</definedName>
    <definedName name="SETOFBOOKSNAME4">#REF!</definedName>
    <definedName name="SETOFBOOKSNAME5">#REF!</definedName>
    <definedName name="SETOFBOOKSNAME6">#REF!</definedName>
    <definedName name="Sindh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Sindh2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Strategic_Tehsils">#REF!</definedName>
    <definedName name="TBII">#REF!</definedName>
    <definedName name="TBOI">#REF!</definedName>
    <definedName name="TBSDA">#REF!</definedName>
    <definedName name="TBSource">#REF!</definedName>
    <definedName name="TOTAL_SATHI">#REF!</definedName>
    <definedName name="TOTAL_TOUCH">#REF!</definedName>
    <definedName name="Touch_Delay_3s">#REF!</definedName>
    <definedName name="Touch_Delay_6s">#REF!</definedName>
    <definedName name="Touch_Dotted_3s">#REF!</definedName>
    <definedName name="Touch_Dotted6s">#REF!</definedName>
    <definedName name="Touch_Ribbed_3s">#REF!</definedName>
    <definedName name="Touch_Ribbed_6s">#REF!</definedName>
    <definedName name="USD_YEAR_1">#REF!</definedName>
    <definedName name="USD_YEAR_2">#REF!</definedName>
    <definedName name="USD_YEAR_3">#REF!</definedName>
    <definedName name="usinflation_yr2">#REF!</definedName>
    <definedName name="usinflation_yr3">#REF!</definedName>
    <definedName name="usinflation_yr4">#REF!</definedName>
    <definedName name="usinflation_yr5">#REF!</definedName>
    <definedName name="usinflation2">#REF!</definedName>
    <definedName name="usinflation3">#REF!</definedName>
    <definedName name="usinflation4">#REF!</definedName>
    <definedName name="usinflation5">#REF!</definedName>
    <definedName name="workerscomp.expat">#REF!</definedName>
    <definedName name="workerscomp.intlstaff">#REF!</definedName>
    <definedName name="workerscomp.STTA">#REF!</definedName>
    <definedName name="wrn.ALI.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www">#REF!</definedName>
    <definedName name="wwwww">#REF!</definedName>
    <definedName name="Y1depoprovera">#REF!</definedName>
    <definedName name="Y1ecp">#REF!</definedName>
    <definedName name="Y1femiject">#REF!</definedName>
    <definedName name="Y1implants">#REF!</definedName>
    <definedName name="Y1multiload">#REF!</definedName>
    <definedName name="Y1novaject">#REF!</definedName>
    <definedName name="Y1novodol">#REF!</definedName>
    <definedName name="Y1safeload">#REF!</definedName>
    <definedName name="Y1sathi10s">#REF!</definedName>
    <definedName name="Y1sathi3s">#REF!</definedName>
    <definedName name="Y1sathi6s">#REF!</definedName>
    <definedName name="Y1touch3sC">#REF!</definedName>
    <definedName name="Y1touch3sD">#REF!</definedName>
    <definedName name="Y1touch6sC">#REF!</definedName>
    <definedName name="Y1touch6sD">#REF!</definedName>
    <definedName name="Y1vsc">#REF!</definedName>
    <definedName name="Y2depoprovera">#REF!</definedName>
    <definedName name="Y2ecp">#REF!</definedName>
    <definedName name="Y2femiject">#REF!</definedName>
    <definedName name="Y2implants">#REF!</definedName>
    <definedName name="Y2multiload">#REF!</definedName>
    <definedName name="Y2novaject">#REF!</definedName>
    <definedName name="Y2novodol">#REF!</definedName>
    <definedName name="Y2safeload">#REF!</definedName>
    <definedName name="Y2sathi10s">#REF!</definedName>
    <definedName name="Y2sathi3s">#REF!</definedName>
    <definedName name="Y2sathi6s">#REF!</definedName>
    <definedName name="Y2touch3sC">#REF!</definedName>
    <definedName name="Y2touch3sD">#REF!</definedName>
    <definedName name="Y2touch6sC">#REF!</definedName>
    <definedName name="Y2touch6sD">#REF!</definedName>
    <definedName name="Y2vsc">#REF!</definedName>
    <definedName name="Y3depoprovera">#REF!</definedName>
    <definedName name="Y3ecp">#REF!</definedName>
    <definedName name="Y3femiject">#REF!</definedName>
    <definedName name="Y3implants">#REF!</definedName>
    <definedName name="Y3multiload">#REF!</definedName>
    <definedName name="Y3novaject">#REF!</definedName>
    <definedName name="Y3novodol">#REF!</definedName>
    <definedName name="Y3safeload">#REF!</definedName>
    <definedName name="Y3sathi10s">#REF!</definedName>
    <definedName name="Y3sathi3s">#REF!</definedName>
    <definedName name="Y3sathi6s">#REF!</definedName>
    <definedName name="Y3touch3sC">#REF!</definedName>
    <definedName name="Y3touch3sD">#REF!</definedName>
    <definedName name="Y3touch6sC">#REF!</definedName>
    <definedName name="Y3touch6sD">#REF!</definedName>
    <definedName name="Y3vsc">#REF!</definedName>
    <definedName name="YEAR2">#REF!</definedName>
    <definedName name="YEAR3">#REF!</definedName>
    <definedName name="YesNoNA">#REF!</definedName>
    <definedName name="zon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" i="1" l="1"/>
</calcChain>
</file>

<file path=xl/sharedStrings.xml><?xml version="1.0" encoding="utf-8"?>
<sst xmlns="http://schemas.openxmlformats.org/spreadsheetml/2006/main" count="466" uniqueCount="300">
  <si>
    <t>Provinces</t>
  </si>
  <si>
    <t>Districts</t>
  </si>
  <si>
    <t>Est. Population 2026</t>
  </si>
  <si>
    <t>MWRA 2026</t>
  </si>
  <si>
    <t>Total Unit</t>
  </si>
  <si>
    <t>B-Active</t>
  </si>
  <si>
    <t>Bliss</t>
  </si>
  <si>
    <t>CANESTEN Cream /Tab</t>
  </si>
  <si>
    <t>CONDOM</t>
  </si>
  <si>
    <t>D-Drops</t>
  </si>
  <si>
    <t>Enofer /Feravi</t>
  </si>
  <si>
    <t>Enoject Injection</t>
  </si>
  <si>
    <t>INJECTABLES</t>
  </si>
  <si>
    <t>IUD</t>
  </si>
  <si>
    <t>Jadelle</t>
  </si>
  <si>
    <t>Micare</t>
  </si>
  <si>
    <t>Microgynon</t>
  </si>
  <si>
    <t>MVA /CDK</t>
  </si>
  <si>
    <t>Nutra Active</t>
  </si>
  <si>
    <t>ORS</t>
  </si>
  <si>
    <t>PILLS</t>
  </si>
  <si>
    <t>PregnoEase</t>
  </si>
  <si>
    <t>SARSET INJ /Tab</t>
  </si>
  <si>
    <t>UNIMMAP</t>
  </si>
  <si>
    <t>VICAL PLUS</t>
  </si>
  <si>
    <t>Vitaferol 5s /1s</t>
  </si>
  <si>
    <t>VSC</t>
  </si>
  <si>
    <t>WELLMA /Bar</t>
  </si>
  <si>
    <t>ZINC Syp /Tab</t>
  </si>
  <si>
    <t>Total Users</t>
  </si>
  <si>
    <t>Users Condoms</t>
  </si>
  <si>
    <t>Users Injectables</t>
  </si>
  <si>
    <t>Users IUD</t>
  </si>
  <si>
    <t>Users Pills</t>
  </si>
  <si>
    <t>Implant Users</t>
  </si>
  <si>
    <t>VSC Users</t>
  </si>
  <si>
    <t>Total CYPs</t>
  </si>
  <si>
    <t>CYPs Condoms</t>
  </si>
  <si>
    <t>CYPs Injectables</t>
  </si>
  <si>
    <t>CYPs IUDs</t>
  </si>
  <si>
    <t>CYPs Pills</t>
  </si>
  <si>
    <t>CYPs VSC</t>
  </si>
  <si>
    <t>CYPs Implant</t>
  </si>
  <si>
    <t>FP clients</t>
  </si>
  <si>
    <t>IUD Insertions</t>
  </si>
  <si>
    <t>New Users</t>
  </si>
  <si>
    <t>PAC FP</t>
  </si>
  <si>
    <t>PPIUCD 10 Years</t>
  </si>
  <si>
    <t>Deliveries</t>
  </si>
  <si>
    <t>MVA  Cases</t>
  </si>
  <si>
    <t>TB Patients</t>
  </si>
  <si>
    <t>MBBS</t>
  </si>
  <si>
    <t>LHV /CMW</t>
  </si>
  <si>
    <t>Hakeem /Homeo</t>
  </si>
  <si>
    <t>Nurse /Desp.</t>
  </si>
  <si>
    <t>Total Providers</t>
  </si>
  <si>
    <t>TB Provider</t>
  </si>
  <si>
    <t>Sitara Baji</t>
  </si>
  <si>
    <t>Sattar Bhahi</t>
  </si>
  <si>
    <t>Total Chemists</t>
  </si>
  <si>
    <t>Total Outlets</t>
  </si>
  <si>
    <t>KFW Delivery</t>
  </si>
  <si>
    <t>KFW FP Clients</t>
  </si>
  <si>
    <t>MWRA Registration (IPC)</t>
  </si>
  <si>
    <t>Neighborhood Meeting (IPC)</t>
  </si>
  <si>
    <t>Orientation Meeting (IPC)</t>
  </si>
  <si>
    <t>Token Redeem (IPC)</t>
  </si>
  <si>
    <t>FALAH 2007-2012 USAID Pop. Council USD 14.3m</t>
  </si>
  <si>
    <t>PAIMAN 2004-2010 USAID JSI PKR 276.5 m</t>
  </si>
  <si>
    <t>Commodity Support USAID 2003-2017 USD 16.6m</t>
  </si>
  <si>
    <t>SIFPO 2012-2014 USAID USD 1.1m PSI</t>
  </si>
  <si>
    <t>FP &amp; RH 2007-2010 Euro 6m KfW</t>
  </si>
  <si>
    <t>FR MCH /FP 2010-2011 Euro 1.5m KfW</t>
  </si>
  <si>
    <t>MCH KfW Euro .75m</t>
  </si>
  <si>
    <t>FP &amp; RH 2012-2019 Euro 14.5m KfW</t>
  </si>
  <si>
    <t>RFPP 2017-21 Euro 2.5m KfW</t>
  </si>
  <si>
    <t>DRHR 2012-17 GBP 11.9m DFID PSI</t>
  </si>
  <si>
    <t>DAFPAK (2017-2024) GBP 13.7m PSI</t>
  </si>
  <si>
    <t>VS 2011-2014 PKR 323m UNFPA /UNICEF</t>
  </si>
  <si>
    <t>VS 2010-2011 USD .4 PSI</t>
  </si>
  <si>
    <t>Packard PSI 2011-2016 USD .8m</t>
  </si>
  <si>
    <t>AIDS Control 2007-2009 PKR 14.5m</t>
  </si>
  <si>
    <t>AIDS, TB &amp; Malaria 2002-2004 R2 GF USD .13</t>
  </si>
  <si>
    <t>AIDS GF 2004-2007 USD 2.8 Pvt Sector</t>
  </si>
  <si>
    <t>TB GF 2007-2011 USD 3.2</t>
  </si>
  <si>
    <t>TB GF Mercy Corps 2011-2014 PKR 120m</t>
  </si>
  <si>
    <t>TB GF 2014-2018 PKR 400m NFM</t>
  </si>
  <si>
    <t>TB GF Mercy Corps 2021-2023 PKR 335.7m</t>
  </si>
  <si>
    <t>TB GF Mercy Corps M-III 2021-2023 PKR 1434m</t>
  </si>
  <si>
    <t>TB BMGF Mercy corps 2022-2024 PKR 36.4m</t>
  </si>
  <si>
    <t>TB GF Mercy corps 2024-2026 PKR 2930.3m</t>
  </si>
  <si>
    <t>UNILIVER 2011-2016 USD .2m</t>
  </si>
  <si>
    <t>LAD I 2007-2011 USD 23.44m</t>
  </si>
  <si>
    <t>LAD II 2011-2013 USD 12.73m</t>
  </si>
  <si>
    <t>LAD III 2014-2018 USD 16.97m</t>
  </si>
  <si>
    <t>LAD IV 2018-2022 USD 9.5m</t>
  </si>
  <si>
    <t>AIDS 2018-2020 PKR 230.3m</t>
  </si>
  <si>
    <t>AIDS 2018-2020 PKR 679.1m</t>
  </si>
  <si>
    <t>NQ 2018-2021 BMGF PKR 219.9m</t>
  </si>
  <si>
    <t>TCI 2021-2025 BMGF /JHU USD 8.8m</t>
  </si>
  <si>
    <t>BEP 2021-2024 BMGF USD 1.1m</t>
  </si>
  <si>
    <t>PPIF 2019-2020 PKR 48.8m</t>
  </si>
  <si>
    <t>PPIF 2022-2023 PKR 2m</t>
  </si>
  <si>
    <t>PPIF 2022-2024 PKR 35.9m</t>
  </si>
  <si>
    <t>PPIF 2022-2024 PKR 43.9m</t>
  </si>
  <si>
    <t>DoctHERS 2020-2021 PKR 11.6m</t>
  </si>
  <si>
    <t>NI 2020-2022 PKR 119.9m</t>
  </si>
  <si>
    <t>BHFA 2022-2025 USAIDPFI</t>
  </si>
  <si>
    <t xml:space="preserve">Palladium 2022-2023 USAID USD 488,009 </t>
  </si>
  <si>
    <t>LHSS 2023-2024 USAID USD 176,128 (Afghanistan)</t>
  </si>
  <si>
    <t>GCC 2022-2024 Euro 5.5m</t>
  </si>
  <si>
    <t>RAF 2011-2013 CMW</t>
  </si>
  <si>
    <t>District_ID</t>
  </si>
  <si>
    <t>Total TP</t>
  </si>
  <si>
    <t>CONDOM TP</t>
  </si>
  <si>
    <t>IMPLANT TP</t>
  </si>
  <si>
    <t>INJECTABLES TP</t>
  </si>
  <si>
    <t>IUD TP</t>
  </si>
  <si>
    <t>New Pharma TP</t>
  </si>
  <si>
    <t>Nutraceutical TP</t>
  </si>
  <si>
    <t>PILLS TP</t>
  </si>
  <si>
    <t>Sanitary Napkin TP</t>
  </si>
  <si>
    <t>mCPR% 2023</t>
  </si>
  <si>
    <t>Islamabad</t>
  </si>
  <si>
    <t>KPK</t>
  </si>
  <si>
    <t>Abbottabad</t>
  </si>
  <si>
    <t>Allai</t>
  </si>
  <si>
    <t>Bajaur Agency</t>
  </si>
  <si>
    <t>Bannu</t>
  </si>
  <si>
    <t>Battagram</t>
  </si>
  <si>
    <t>Buner</t>
  </si>
  <si>
    <t>Central Dir</t>
  </si>
  <si>
    <t>Charsadda</t>
  </si>
  <si>
    <t>D.I. Khan</t>
  </si>
  <si>
    <t>Hangu</t>
  </si>
  <si>
    <t>Haripur</t>
  </si>
  <si>
    <t>Karak</t>
  </si>
  <si>
    <t>Khyber Agency</t>
  </si>
  <si>
    <t>Kohat</t>
  </si>
  <si>
    <t>Kolai Palas</t>
  </si>
  <si>
    <t>Kurram Agency</t>
  </si>
  <si>
    <t>Lakki Marwat</t>
  </si>
  <si>
    <t>Lower Chitral</t>
  </si>
  <si>
    <t>Lower Dir</t>
  </si>
  <si>
    <t>Lower Kohistan</t>
  </si>
  <si>
    <t>Lower South Waziristan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</si>
  <si>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</si>
  <si>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</si>
  <si>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</si>
  <si>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</si>
  <si>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</si>
  <si>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</si>
  <si>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</si>
  <si>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</si>
  <si>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Shangla</t>
  </si>
  <si>
    <t>Swabi</t>
  </si>
  <si>
    <t>Swat</t>
  </si>
  <si>
    <t>Tank</t>
  </si>
  <si>
    <t>Tor Ghar (Kala Dhaka)</t>
  </si>
  <si>
    <t>Upper Chitral</t>
  </si>
  <si>
    <t>Upper Dir</t>
  </si>
  <si>
    <t>Upper Kohistan</t>
  </si>
  <si>
    <t>Upper South Waziristan</t>
  </si>
  <si>
    <t>Punjab</t>
  </si>
  <si>
    <t>Attock</t>
  </si>
  <si>
    <t>Bahawalnagar</t>
  </si>
  <si>
    <t>Bahawalpur</t>
  </si>
  <si>
    <t>Bhakkar</t>
  </si>
  <si>
    <t>Chakwal</t>
  </si>
  <si>
    <t>Chiniot</t>
  </si>
  <si>
    <t>D.G. Khan</t>
  </si>
  <si>
    <t>Faisalabad</t>
  </si>
  <si>
    <t>Gujranwala</t>
  </si>
  <si>
    <t>Gujrat</t>
  </si>
  <si>
    <t>Hafizabad</t>
  </si>
  <si>
    <t>Jampur</t>
  </si>
  <si>
    <t>Jhang</t>
  </si>
  <si>
    <t>Jhelum</t>
  </si>
  <si>
    <t>Kasur</t>
  </si>
  <si>
    <t>Khanewal</t>
  </si>
  <si>
    <t>Khushab</t>
  </si>
  <si>
    <t>Kot Addu</t>
  </si>
  <si>
    <t>Lahore</t>
  </si>
  <si>
    <t>Layyah</t>
  </si>
  <si>
    <t>Lodhran</t>
  </si>
  <si>
    <t>M.B. Din</t>
  </si>
  <si>
    <t>Mianwali</t>
  </si>
  <si>
    <t>Multan</t>
  </si>
  <si>
    <t>Murree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</si>
  <si>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</si>
  <si>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</si>
  <si>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</si>
  <si>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</si>
  <si>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</si>
  <si>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</si>
  <si>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</si>
  <si>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</si>
  <si>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</si>
  <si>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</si>
  <si>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</si>
  <si>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</si>
  <si>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Talagang</t>
  </si>
  <si>
    <t>Taunsa</t>
  </si>
  <si>
    <t>T.T. Singh</t>
  </si>
  <si>
    <t>Vehari</t>
  </si>
  <si>
    <t>Wazirabad</t>
  </si>
  <si>
    <t>Sindh</t>
  </si>
  <si>
    <t>Badin</t>
  </si>
  <si>
    <t>Dadu</t>
  </si>
  <si>
    <t>Ghotki</t>
  </si>
  <si>
    <t>Hyderabad</t>
  </si>
  <si>
    <t>Jacobabad</t>
  </si>
  <si>
    <t>Jamshoro</t>
  </si>
  <si>
    <t>Karachi Central</t>
  </si>
  <si>
    <t>Karachi East</t>
  </si>
  <si>
    <t>Karachi Korangi</t>
  </si>
  <si>
    <t>Karachi Keamari</t>
  </si>
  <si>
    <t>Karachi Malir</t>
  </si>
  <si>
    <t>Karachi South</t>
  </si>
  <si>
    <t>Karachi West</t>
  </si>
  <si>
    <t>Kashmore</t>
  </si>
  <si>
    <t>Khairpur</t>
  </si>
  <si>
    <t>Larkana</t>
  </si>
  <si>
    <t>Matiari</t>
  </si>
  <si>
    <t>Mirpur Khas</t>
  </si>
  <si>
    <t>Naushahro Feroze</t>
  </si>
  <si>
    <t>Qambar Shahdadkot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</si>
  <si>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</si>
  <si>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</si>
  <si>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</si>
  <si>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</si>
  <si>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</si>
  <si>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</si>
  <si>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</si>
  <si>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</si>
  <si>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</si>
  <si>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</si>
  <si>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AJK</t>
  </si>
  <si>
    <t>Bagh AJK</t>
  </si>
  <si>
    <t>Bhimber AJK</t>
  </si>
  <si>
    <t>Hattian Bala AJK</t>
  </si>
  <si>
    <t>Haveli AJK</t>
  </si>
  <si>
    <t>Kotli AJK</t>
  </si>
  <si>
    <t>Mirpur AJK</t>
  </si>
  <si>
    <t>Muzaffarabad AJK</t>
  </si>
  <si>
    <t>Neleem AJK</t>
  </si>
  <si>
    <t>POONCH AJK</t>
  </si>
  <si>
    <t>Sudhnoti AJK</t>
  </si>
  <si>
    <t>Balochistan</t>
  </si>
  <si>
    <t>Awaran</t>
  </si>
  <si>
    <t>Barkhan</t>
  </si>
  <si>
    <t>Chagai</t>
  </si>
  <si>
    <t>Chaman</t>
  </si>
  <si>
    <t>Dera Bugti</t>
  </si>
  <si>
    <t>Duki</t>
  </si>
  <si>
    <t>Gwadar</t>
  </si>
  <si>
    <t>Harnai</t>
  </si>
  <si>
    <t>Hub</t>
  </si>
  <si>
    <t>Jafarabad</t>
  </si>
  <si>
    <t>Jhal Magsi</t>
  </si>
  <si>
    <t>Bolan (Kachhi)</t>
  </si>
  <si>
    <t>Kech</t>
  </si>
  <si>
    <t>Kharan</t>
  </si>
  <si>
    <t>Khuzdar</t>
  </si>
  <si>
    <t>Kohlu</t>
  </si>
  <si>
    <t>Lasbela</t>
  </si>
  <si>
    <t>Loralai</t>
  </si>
  <si>
    <t>Mastung</t>
  </si>
  <si>
    <t>Musakhel</t>
  </si>
  <si>
    <t>Nasirabad (DM Jamali)</t>
  </si>
  <si>
    <t>Nushki</t>
  </si>
  <si>
    <t>Panjgur</t>
  </si>
  <si>
    <t>Pishin</t>
  </si>
  <si>
    <t>Qilla Abdullah</t>
  </si>
  <si>
    <t>Qilla Saifullah</t>
  </si>
  <si>
    <t>Quetta</t>
  </si>
  <si>
    <t>Sheerani</t>
  </si>
  <si>
    <t>Sibi</t>
  </si>
  <si>
    <t>Sohbatpur</t>
  </si>
  <si>
    <t>Surab (Kalat)</t>
  </si>
  <si>
    <t>Tump</t>
  </si>
  <si>
    <t>Usta Muhammad</t>
  </si>
  <si>
    <t>Washuk</t>
  </si>
  <si>
    <t>Zhob</t>
  </si>
  <si>
    <t>Ziarat</t>
  </si>
  <si>
    <t>GB</t>
  </si>
  <si>
    <t>Astore</t>
  </si>
  <si>
    <t>Diamer</t>
  </si>
  <si>
    <t>Ghanche</t>
  </si>
  <si>
    <t>Ghizer</t>
  </si>
  <si>
    <t>Gilgit</t>
  </si>
  <si>
    <t>Hunza</t>
  </si>
  <si>
    <t>Kharmang</t>
  </si>
  <si>
    <t>Nagar</t>
  </si>
  <si>
    <t>Shigar</t>
  </si>
  <si>
    <t>Skardu</t>
  </si>
  <si>
    <t>Darel</t>
  </si>
  <si>
    <t>Gupis–Yasin</t>
  </si>
  <si>
    <t>Tangir</t>
  </si>
  <si>
    <t>Roundu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</si>
</sst>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3" fillId="0" borderId="1" xfId="1" applyNumberFormat="1" applyFont="1" applyBorder="1" applyAlignment="1">
      <alignment vertical="top" wrapText="1"/>
    </xf>
    <xf numFmtId="164" fontId="3" fillId="2" borderId="1" xfId="1" applyNumberFormat="1" applyFont="1" applyFill="1" applyBorder="1" applyAlignment="1">
      <alignment vertical="top" wrapText="1"/>
    </xf>
    <xf numFmtId="164" fontId="3" fillId="3" borderId="1" xfId="1" applyNumberFormat="1" applyFont="1" applyFill="1" applyBorder="1" applyAlignment="1">
      <alignment vertical="top" wrapText="1"/>
    </xf>
    <xf numFmtId="164" fontId="3" fillId="4" borderId="1" xfId="1" applyNumberFormat="1" applyFont="1" applyFill="1" applyBorder="1" applyAlignment="1">
      <alignment vertical="top" wrapText="1"/>
    </xf>
    <xf numFmtId="164" fontId="3" fillId="5" borderId="1" xfId="1" applyNumberFormat="1" applyFont="1" applyFill="1" applyBorder="1" applyAlignment="1">
      <alignment vertical="top" wrapText="1"/>
    </xf>
    <xf numFmtId="164" fontId="3" fillId="6" borderId="1" xfId="1" applyNumberFormat="1" applyFont="1" applyFill="1" applyBorder="1" applyAlignment="1">
      <alignment vertical="top" wrapText="1"/>
    </xf>
    <xf numFmtId="164" fontId="3" fillId="7" borderId="1" xfId="1" applyNumberFormat="1" applyFont="1" applyFill="1" applyBorder="1" applyAlignment="1">
      <alignment vertical="top" wrapText="1"/>
    </xf>
    <xf numFmtId="164" fontId="3" fillId="8" borderId="1" xfId="1" applyNumberFormat="1" applyFont="1" applyFill="1" applyBorder="1" applyAlignment="1">
      <alignment vertical="top" wrapText="1"/>
    </xf>
    <xf numFmtId="164" fontId="3" fillId="3" borderId="1" xfId="1" applyNumberFormat="1" applyFont="1" applyFill="1" applyBorder="1" applyAlignment="1">
      <alignment horizontal="left" vertical="top" wrapText="1"/>
    </xf>
    <xf numFmtId="164" fontId="3" fillId="9" borderId="1" xfId="1" applyNumberFormat="1" applyFont="1" applyFill="1" applyBorder="1" applyAlignment="1">
      <alignment vertical="top" wrapText="1"/>
    </xf>
    <xf numFmtId="164" fontId="3" fillId="10" borderId="1" xfId="1" applyNumberFormat="1" applyFont="1" applyFill="1" applyBorder="1" applyAlignment="1">
      <alignment vertical="top" wrapText="1"/>
    </xf>
    <xf numFmtId="164" fontId="4" fillId="8" borderId="1" xfId="1" applyNumberFormat="1" applyFont="1" applyFill="1" applyBorder="1" applyAlignment="1">
      <alignment vertical="top" wrapText="1"/>
    </xf>
    <xf numFmtId="164" fontId="3" fillId="11" borderId="1" xfId="1" applyNumberFormat="1" applyFont="1" applyFill="1" applyBorder="1" applyAlignment="1">
      <alignment vertical="top" wrapText="1"/>
    </xf>
    <xf numFmtId="164" fontId="3" fillId="12" borderId="1" xfId="1" applyNumberFormat="1" applyFont="1" applyFill="1" applyBorder="1" applyAlignment="1">
      <alignment vertical="top" wrapText="1"/>
    </xf>
    <xf numFmtId="164" fontId="3" fillId="13" borderId="1" xfId="1" applyNumberFormat="1" applyFont="1" applyFill="1" applyBorder="1" applyAlignment="1">
      <alignment vertical="top" wrapText="1"/>
    </xf>
    <xf numFmtId="164" fontId="3" fillId="14" borderId="1" xfId="1" applyNumberFormat="1" applyFont="1" applyFill="1" applyBorder="1" applyAlignment="1">
      <alignment vertical="top" wrapText="1"/>
    </xf>
    <xf numFmtId="164" fontId="3" fillId="15" borderId="1" xfId="1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164" fontId="5" fillId="0" borderId="1" xfId="1" applyNumberFormat="1" applyFont="1" applyBorder="1"/>
    <xf numFmtId="164" fontId="3" fillId="0" borderId="1" xfId="1" applyNumberFormat="1" applyFont="1" applyBorder="1"/>
    <xf numFmtId="0" fontId="5" fillId="0" borderId="1" xfId="1" applyNumberFormat="1" applyFont="1" applyBorder="1"/>
    <xf numFmtId="9" fontId="5" fillId="0" borderId="1" xfId="2" applyFont="1" applyBorder="1"/>
    <xf numFmtId="164" fontId="6" fillId="0" borderId="1" xfId="1" applyNumberFormat="1" applyFont="1" applyBorder="1"/>
    <xf numFmtId="0" fontId="6" fillId="16" borderId="1" xfId="1" applyNumberFormat="1" applyFont="1" applyFill="1" applyBorder="1"/>
    <xf numFmtId="9" fontId="7" fillId="0" borderId="1" xfId="2" applyFont="1" applyFill="1" applyBorder="1"/>
    <xf numFmtId="43" fontId="5" fillId="0" borderId="1" xfId="1" applyFont="1" applyBorder="1"/>
    <xf numFmtId="164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eenstarsocial-my.sharepoint.com/personal/m_tafseer_greenstar_org_pk/Documents/GSM_data/EXCEL/Power%20BI%20GSM/GSM%20History/GSM%20Districts%20Profile.xlsx" TargetMode="External"/><Relationship Id="rId1" Type="http://schemas.openxmlformats.org/officeDocument/2006/relationships/externalLinkPath" Target="https://greenstarsocial-my.sharepoint.com/personal/m_tafseer_greenstar_org_pk/Documents/GSM_data/EXCEL/Power%20BI%20GSM/GSM%20History/GSM%20Districts%20Pro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SM Districts Profile"/>
      <sheetName val="GSM TP Value"/>
      <sheetName val="Beneficiaries"/>
      <sheetName val="FP Users"/>
      <sheetName val="NFP User Conversion"/>
      <sheetName val="Acrony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DA5C-A442-4CA0-B239-6328DCD8F0FC}">
  <dimension ref="A1:DT172"/>
  <sheetViews>
    <sheetView tabSelected="1" workbookViewId="0">
      <pane xSplit="2" ySplit="1" topLeftCell="DW72" activePane="bottomRight" state="frozen"/>
      <selection pane="topRight" activeCell="C1" sqref="C1"/>
      <selection pane="bottomLeft" activeCell="A2" sqref="A2"/>
      <selection pane="bottomRight" activeCell="DT79" sqref="DT79"/>
    </sheetView>
  </sheetViews>
  <sheetFormatPr defaultColWidth="7.54296875" defaultRowHeight="14.5" x14ac:dyDescent="0.35"/>
  <cols>
    <col min="1" max="1" width="5.81640625" customWidth="1"/>
    <col min="2" max="2" width="11.6328125" customWidth="1"/>
    <col min="3" max="3" width="8.1796875" customWidth="1"/>
    <col min="4" max="4" width="7.81640625" customWidth="1"/>
    <col min="5" max="5" width="8.81640625" customWidth="1"/>
    <col min="6" max="6" width="5.453125" customWidth="1"/>
    <col min="7" max="7" width="6.90625" customWidth="1"/>
    <col min="8" max="8" width="6.26953125" customWidth="1"/>
    <col min="9" max="9" width="8.81640625" customWidth="1"/>
    <col min="10" max="10" width="5.7265625" customWidth="1"/>
    <col min="11" max="11" width="6.08984375" customWidth="1"/>
    <col min="12" max="12" width="5.7265625" customWidth="1"/>
    <col min="13" max="13" width="7.1796875" customWidth="1"/>
    <col min="14" max="14" width="7.26953125" customWidth="1"/>
    <col min="15" max="15" width="5.7265625" customWidth="1"/>
    <col min="16" max="16" width="6.1796875" customWidth="1"/>
    <col min="17" max="17" width="5.26953125" customWidth="1"/>
    <col min="18" max="19" width="5.7265625" customWidth="1"/>
    <col min="20" max="20" width="7.26953125" customWidth="1"/>
    <col min="21" max="21" width="7" customWidth="1"/>
    <col min="22" max="22" width="5.7265625" customWidth="1"/>
    <col min="23" max="23" width="6.26953125" customWidth="1"/>
    <col min="24" max="24" width="5.7265625" customWidth="1"/>
    <col min="25" max="25" width="6.54296875" customWidth="1"/>
    <col min="26" max="26" width="7.54296875" customWidth="1"/>
    <col min="27" max="27" width="5.54296875" customWidth="1"/>
    <col min="28" max="28" width="6.453125" customWidth="1"/>
    <col min="29" max="29" width="6.26953125" customWidth="1"/>
    <col min="30" max="30" width="8.54296875" customWidth="1"/>
    <col min="31" max="31" width="9" customWidth="1"/>
    <col min="32" max="32" width="8.453125" customWidth="1"/>
    <col min="33" max="33" width="7.90625" customWidth="1"/>
    <col min="34" max="36" width="7.81640625" customWidth="1"/>
    <col min="37" max="37" width="8.453125" customWidth="1"/>
    <col min="38" max="38" width="8.08984375" customWidth="1"/>
    <col min="39" max="39" width="7.81640625" customWidth="1"/>
    <col min="40" max="40" width="6.6328125" customWidth="1"/>
    <col min="41" max="43" width="7.54296875" customWidth="1"/>
    <col min="44" max="44" width="6.54296875" customWidth="1"/>
    <col min="45" max="45" width="7" customWidth="1"/>
    <col min="46" max="46" width="6.36328125" customWidth="1"/>
    <col min="47" max="50" width="7.54296875" customWidth="1"/>
    <col min="51" max="51" width="6.26953125" customWidth="1"/>
    <col min="52" max="52" width="5.54296875" style="27" customWidth="1"/>
    <col min="53" max="53" width="5.54296875" customWidth="1"/>
    <col min="54" max="54" width="6.36328125" customWidth="1"/>
    <col min="55" max="55" width="5.1796875" customWidth="1"/>
    <col min="56" max="56" width="7.54296875" customWidth="1"/>
    <col min="57" max="57" width="6.1796875" customWidth="1"/>
    <col min="58" max="58" width="5.90625" customWidth="1"/>
    <col min="59" max="59" width="5.6328125" customWidth="1"/>
    <col min="60" max="60" width="6" customWidth="1"/>
    <col min="61" max="61" width="5.7265625" customWidth="1"/>
    <col min="62" max="63" width="7.54296875" customWidth="1"/>
    <col min="64" max="64" width="8.1796875" customWidth="1"/>
    <col min="65" max="66" width="10" customWidth="1"/>
    <col min="67" max="67" width="8.81640625" customWidth="1"/>
    <col min="68" max="68" width="7.36328125" customWidth="1"/>
    <col min="69" max="73" width="8.08984375" customWidth="1"/>
    <col min="74" max="74" width="4.6328125" customWidth="1"/>
    <col min="75" max="75" width="7.26953125" customWidth="1"/>
    <col min="76" max="78" width="6.54296875" customWidth="1"/>
    <col min="79" max="93" width="7.54296875" customWidth="1"/>
    <col min="94" max="99" width="7.81640625" customWidth="1"/>
    <col min="100" max="102" width="6.453125" customWidth="1"/>
    <col min="103" max="106" width="4.453125" customWidth="1"/>
    <col min="107" max="107" width="7.36328125" customWidth="1"/>
    <col min="108" max="108" width="6.08984375" customWidth="1"/>
    <col min="109" max="109" width="4.453125" customWidth="1"/>
    <col min="110" max="110" width="8.1796875" customWidth="1"/>
    <col min="111" max="111" width="8.90625" customWidth="1"/>
    <col min="112" max="113" width="4.453125" customWidth="1"/>
    <col min="114" max="114" width="5.36328125" customWidth="1"/>
    <col min="115" max="115" width="10.6328125" customWidth="1"/>
    <col min="116" max="116" width="10" customWidth="1"/>
    <col min="117" max="117" width="8.1796875" customWidth="1"/>
    <col min="118" max="119" width="8.08984375" customWidth="1"/>
    <col min="120" max="120" width="8.6328125" customWidth="1"/>
    <col min="121" max="122" width="8.08984375" customWidth="1"/>
    <col min="123" max="123" width="7.54296875" customWidth="1"/>
    <col min="124" max="124" width="6.1796875" customWidth="1"/>
  </cols>
  <sheetData>
    <row r="1" spans="1:124" s="18" customFormat="1" ht="68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3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4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8" t="s">
        <v>56</v>
      </c>
      <c r="BF1" s="9" t="s">
        <v>57</v>
      </c>
      <c r="BG1" s="3" t="s">
        <v>58</v>
      </c>
      <c r="BH1" s="10" t="s">
        <v>59</v>
      </c>
      <c r="BI1" s="10" t="s">
        <v>60</v>
      </c>
      <c r="BJ1" s="11" t="s">
        <v>61</v>
      </c>
      <c r="BK1" s="11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12" t="s">
        <v>75</v>
      </c>
      <c r="BZ1" s="13" t="s">
        <v>76</v>
      </c>
      <c r="CA1" s="13" t="s">
        <v>77</v>
      </c>
      <c r="CB1" s="14" t="s">
        <v>78</v>
      </c>
      <c r="CC1" s="14" t="s">
        <v>79</v>
      </c>
      <c r="CD1" s="14" t="s">
        <v>80</v>
      </c>
      <c r="CE1" s="15" t="s">
        <v>81</v>
      </c>
      <c r="CF1" s="15" t="s">
        <v>82</v>
      </c>
      <c r="CG1" s="15" t="s">
        <v>83</v>
      </c>
      <c r="CH1" s="15" t="s">
        <v>84</v>
      </c>
      <c r="CI1" s="15" t="s">
        <v>85</v>
      </c>
      <c r="CJ1" s="15" t="s">
        <v>86</v>
      </c>
      <c r="CK1" s="15" t="s">
        <v>87</v>
      </c>
      <c r="CL1" s="15" t="s">
        <v>88</v>
      </c>
      <c r="CM1" s="15" t="s">
        <v>89</v>
      </c>
      <c r="CN1" s="15" t="s">
        <v>90</v>
      </c>
      <c r="CO1" s="5" t="s">
        <v>91</v>
      </c>
      <c r="CP1" s="16" t="s">
        <v>92</v>
      </c>
      <c r="CQ1" s="16" t="s">
        <v>93</v>
      </c>
      <c r="CR1" s="16" t="s">
        <v>94</v>
      </c>
      <c r="CS1" s="16" t="s">
        <v>95</v>
      </c>
      <c r="CT1" s="4" t="s">
        <v>96</v>
      </c>
      <c r="CU1" s="4" t="s">
        <v>97</v>
      </c>
      <c r="CV1" s="7" t="s">
        <v>98</v>
      </c>
      <c r="CW1" s="7" t="s">
        <v>99</v>
      </c>
      <c r="CX1" s="7" t="s">
        <v>100</v>
      </c>
      <c r="CY1" s="17" t="s">
        <v>101</v>
      </c>
      <c r="CZ1" s="17" t="s">
        <v>102</v>
      </c>
      <c r="DA1" s="17" t="s">
        <v>103</v>
      </c>
      <c r="DB1" s="17" t="s">
        <v>104</v>
      </c>
      <c r="DC1" s="5" t="s">
        <v>105</v>
      </c>
      <c r="DD1" s="5" t="s">
        <v>106</v>
      </c>
      <c r="DE1" s="7" t="s">
        <v>107</v>
      </c>
      <c r="DF1" s="3" t="s">
        <v>108</v>
      </c>
      <c r="DG1" s="3" t="s">
        <v>109</v>
      </c>
      <c r="DH1" s="5" t="s">
        <v>110</v>
      </c>
      <c r="DI1" s="5" t="s">
        <v>111</v>
      </c>
      <c r="DJ1" s="5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13" t="s">
        <v>122</v>
      </c>
    </row>
    <row r="2" spans="1:124" x14ac:dyDescent="0.35">
      <c r="A2" s="19" t="s">
        <v>123</v>
      </c>
      <c r="B2" s="19" t="s">
        <v>123</v>
      </c>
      <c r="C2" s="19">
        <v>2549349.0213461015</v>
      </c>
      <c r="D2" s="19">
        <v>407895.84341537626</v>
      </c>
      <c r="E2" s="20">
        <v>20085108</v>
      </c>
      <c r="F2" s="19">
        <v>2322</v>
      </c>
      <c r="G2" s="19">
        <v>101756</v>
      </c>
      <c r="H2" s="19">
        <v>1155</v>
      </c>
      <c r="I2" s="19">
        <v>18999990</v>
      </c>
      <c r="J2" s="19">
        <v>532</v>
      </c>
      <c r="K2" s="19">
        <v>2988</v>
      </c>
      <c r="L2" s="19">
        <v>668</v>
      </c>
      <c r="M2" s="19">
        <v>42980</v>
      </c>
      <c r="N2" s="19">
        <v>80956</v>
      </c>
      <c r="O2" s="19">
        <v>637</v>
      </c>
      <c r="P2" s="19">
        <v>11888</v>
      </c>
      <c r="Q2" s="19">
        <v>126</v>
      </c>
      <c r="R2" s="19">
        <v>80</v>
      </c>
      <c r="S2" s="19">
        <v>748</v>
      </c>
      <c r="T2" s="19">
        <v>35520</v>
      </c>
      <c r="U2" s="19">
        <v>723405</v>
      </c>
      <c r="V2" s="19">
        <v>776</v>
      </c>
      <c r="W2" s="19">
        <v>1294</v>
      </c>
      <c r="X2" s="19">
        <v>266</v>
      </c>
      <c r="Y2" s="19">
        <v>11889</v>
      </c>
      <c r="Z2" s="19">
        <v>29434</v>
      </c>
      <c r="AA2" s="19">
        <v>180</v>
      </c>
      <c r="AB2" s="19">
        <v>23702</v>
      </c>
      <c r="AC2" s="19">
        <v>11816</v>
      </c>
      <c r="AD2" s="19">
        <v>269499.43846153846</v>
      </c>
      <c r="AE2" s="19">
        <v>189999.9</v>
      </c>
      <c r="AF2" s="19">
        <v>8596</v>
      </c>
      <c r="AG2" s="19">
        <v>14440</v>
      </c>
      <c r="AH2" s="19">
        <v>55646.538461538461</v>
      </c>
      <c r="AI2" s="19">
        <v>637</v>
      </c>
      <c r="AJ2" s="19">
        <v>180</v>
      </c>
      <c r="AK2" s="19">
        <v>540688</v>
      </c>
      <c r="AL2" s="19">
        <v>152451</v>
      </c>
      <c r="AM2" s="19">
        <v>8974</v>
      </c>
      <c r="AN2" s="19">
        <v>322933</v>
      </c>
      <c r="AO2" s="19">
        <v>52110</v>
      </c>
      <c r="AP2" s="19">
        <v>1800</v>
      </c>
      <c r="AQ2" s="19">
        <v>2420</v>
      </c>
      <c r="AR2" s="19">
        <v>82779</v>
      </c>
      <c r="AS2" s="19">
        <v>14440</v>
      </c>
      <c r="AT2" s="19">
        <v>12692</v>
      </c>
      <c r="AU2" s="19">
        <v>7229.3999999999942</v>
      </c>
      <c r="AV2" s="19">
        <v>2921</v>
      </c>
      <c r="AW2" s="19">
        <v>21162</v>
      </c>
      <c r="AX2" s="19">
        <v>8007</v>
      </c>
      <c r="AY2" s="19">
        <v>0</v>
      </c>
      <c r="AZ2" s="19">
        <v>156</v>
      </c>
      <c r="BA2" s="19">
        <v>36</v>
      </c>
      <c r="BB2" s="19">
        <v>185</v>
      </c>
      <c r="BC2" s="19">
        <v>2</v>
      </c>
      <c r="BD2" s="19">
        <v>379</v>
      </c>
      <c r="BE2" s="19">
        <v>0</v>
      </c>
      <c r="BF2" s="19">
        <v>175</v>
      </c>
      <c r="BG2" s="19">
        <v>8</v>
      </c>
      <c r="BH2" s="19">
        <v>1205</v>
      </c>
      <c r="BI2" s="19">
        <v>1594</v>
      </c>
      <c r="BJ2" s="19">
        <v>0</v>
      </c>
      <c r="BK2" s="19">
        <v>0</v>
      </c>
      <c r="BL2" s="19">
        <v>11395</v>
      </c>
      <c r="BM2" s="19">
        <v>495</v>
      </c>
      <c r="BN2" s="19">
        <v>63</v>
      </c>
      <c r="BO2" s="19">
        <v>2762</v>
      </c>
      <c r="BP2" s="19">
        <v>0</v>
      </c>
      <c r="BQ2" s="19">
        <v>0</v>
      </c>
      <c r="BR2" s="19">
        <v>1</v>
      </c>
      <c r="BS2" s="19">
        <v>0</v>
      </c>
      <c r="BT2" s="19">
        <v>0</v>
      </c>
      <c r="BU2" s="19">
        <v>0</v>
      </c>
      <c r="BV2" s="19">
        <v>0</v>
      </c>
      <c r="BW2" s="19">
        <v>1</v>
      </c>
      <c r="BX2" s="19">
        <v>0</v>
      </c>
      <c r="BY2" s="19">
        <v>0</v>
      </c>
      <c r="BZ2" s="19">
        <v>0</v>
      </c>
      <c r="CA2" s="19">
        <v>0</v>
      </c>
      <c r="CB2" s="19">
        <v>0</v>
      </c>
      <c r="CC2" s="19">
        <v>0</v>
      </c>
      <c r="CD2" s="19">
        <v>0</v>
      </c>
      <c r="CE2" s="19">
        <v>0</v>
      </c>
      <c r="CF2" s="19">
        <v>0</v>
      </c>
      <c r="CG2" s="19">
        <v>0</v>
      </c>
      <c r="CH2" s="19">
        <v>0</v>
      </c>
      <c r="CI2" s="19">
        <v>0</v>
      </c>
      <c r="CJ2" s="19">
        <v>0</v>
      </c>
      <c r="CK2" s="19">
        <v>0</v>
      </c>
      <c r="CL2" s="19">
        <v>0</v>
      </c>
      <c r="CM2" s="19">
        <v>0</v>
      </c>
      <c r="CN2" s="19">
        <v>0</v>
      </c>
      <c r="CO2" s="19">
        <v>0</v>
      </c>
      <c r="CP2" s="19">
        <v>1</v>
      </c>
      <c r="CQ2" s="19">
        <v>1</v>
      </c>
      <c r="CR2" s="19">
        <v>1</v>
      </c>
      <c r="CS2" s="19">
        <v>1</v>
      </c>
      <c r="CT2" s="19">
        <v>0</v>
      </c>
      <c r="CU2" s="19">
        <v>0</v>
      </c>
      <c r="CV2" s="19">
        <v>0</v>
      </c>
      <c r="CW2" s="19">
        <v>1</v>
      </c>
      <c r="CX2" s="19">
        <v>0</v>
      </c>
      <c r="CY2" s="19">
        <v>0</v>
      </c>
      <c r="CZ2" s="19">
        <v>0</v>
      </c>
      <c r="DA2" s="19">
        <v>0</v>
      </c>
      <c r="DB2" s="19">
        <v>0</v>
      </c>
      <c r="DC2" s="19">
        <v>0</v>
      </c>
      <c r="DD2" s="19">
        <v>1</v>
      </c>
      <c r="DE2" s="19">
        <v>0</v>
      </c>
      <c r="DF2" s="19">
        <v>0</v>
      </c>
      <c r="DG2" s="19">
        <v>0</v>
      </c>
      <c r="DH2" s="19">
        <v>0</v>
      </c>
      <c r="DI2" s="19">
        <v>0</v>
      </c>
      <c r="DJ2" s="21">
        <v>50801</v>
      </c>
      <c r="DK2" s="19">
        <v>313790898</v>
      </c>
      <c r="DL2" s="19">
        <v>244882388</v>
      </c>
      <c r="DM2" s="19">
        <v>126800</v>
      </c>
      <c r="DN2" s="19">
        <v>4778477</v>
      </c>
      <c r="DO2" s="19">
        <v>22462314</v>
      </c>
      <c r="DP2" s="19">
        <v>14550874</v>
      </c>
      <c r="DQ2" s="19">
        <v>10070562</v>
      </c>
      <c r="DR2" s="19">
        <v>14722691</v>
      </c>
      <c r="DS2" s="19">
        <v>2196792</v>
      </c>
      <c r="DT2" s="22">
        <v>0.33</v>
      </c>
    </row>
    <row r="3" spans="1:124" x14ac:dyDescent="0.35">
      <c r="A3" s="19" t="s">
        <v>124</v>
      </c>
      <c r="B3" s="19" t="s">
        <v>125</v>
      </c>
      <c r="C3" s="19">
        <v>1530422.7928689839</v>
      </c>
      <c r="D3" s="19">
        <v>244867.64685903743</v>
      </c>
      <c r="E3" s="20">
        <v>3932224</v>
      </c>
      <c r="F3" s="19">
        <v>1226</v>
      </c>
      <c r="G3" s="19">
        <v>27632</v>
      </c>
      <c r="H3" s="19">
        <v>1357</v>
      </c>
      <c r="I3" s="19">
        <v>3700001</v>
      </c>
      <c r="J3" s="19">
        <v>338</v>
      </c>
      <c r="K3" s="19">
        <v>6066</v>
      </c>
      <c r="L3" s="19">
        <v>478</v>
      </c>
      <c r="M3" s="19">
        <v>19117</v>
      </c>
      <c r="N3" s="19">
        <v>11196</v>
      </c>
      <c r="O3" s="19">
        <v>10</v>
      </c>
      <c r="P3" s="19">
        <v>930</v>
      </c>
      <c r="Q3" s="19">
        <v>108</v>
      </c>
      <c r="R3" s="19">
        <v>33</v>
      </c>
      <c r="S3" s="19">
        <v>662</v>
      </c>
      <c r="T3" s="19">
        <v>41780</v>
      </c>
      <c r="U3" s="19">
        <v>79133</v>
      </c>
      <c r="V3" s="19">
        <v>355</v>
      </c>
      <c r="W3" s="19">
        <v>1215</v>
      </c>
      <c r="X3" s="19">
        <v>265</v>
      </c>
      <c r="Y3" s="19">
        <v>9592</v>
      </c>
      <c r="Z3" s="19">
        <v>19779</v>
      </c>
      <c r="AA3" s="19">
        <v>0</v>
      </c>
      <c r="AB3" s="19">
        <v>940</v>
      </c>
      <c r="AC3" s="19">
        <v>10011</v>
      </c>
      <c r="AD3" s="19">
        <v>66972.563846153847</v>
      </c>
      <c r="AE3" s="19">
        <v>37000.01</v>
      </c>
      <c r="AF3" s="19">
        <v>3823.4</v>
      </c>
      <c r="AG3" s="19">
        <v>20052</v>
      </c>
      <c r="AH3" s="19">
        <v>6087.1538461538457</v>
      </c>
      <c r="AI3" s="19">
        <v>10</v>
      </c>
      <c r="AJ3" s="19">
        <v>0</v>
      </c>
      <c r="AK3" s="19">
        <v>83817</v>
      </c>
      <c r="AL3" s="19">
        <v>30832</v>
      </c>
      <c r="AM3" s="19">
        <v>3855</v>
      </c>
      <c r="AN3" s="19">
        <v>39866</v>
      </c>
      <c r="AO3" s="19">
        <v>9226</v>
      </c>
      <c r="AP3" s="19">
        <v>0</v>
      </c>
      <c r="AQ3" s="19">
        <v>38</v>
      </c>
      <c r="AR3" s="19">
        <v>87298</v>
      </c>
      <c r="AS3" s="19">
        <v>20052</v>
      </c>
      <c r="AT3" s="19">
        <v>14379</v>
      </c>
      <c r="AU3" s="19">
        <v>6220.4000000000005</v>
      </c>
      <c r="AV3" s="19">
        <v>832</v>
      </c>
      <c r="AW3" s="19">
        <v>25951</v>
      </c>
      <c r="AX3" s="19">
        <v>6598</v>
      </c>
      <c r="AY3" s="19">
        <v>0</v>
      </c>
      <c r="AZ3" s="19">
        <v>120</v>
      </c>
      <c r="BA3" s="19">
        <v>58</v>
      </c>
      <c r="BB3" s="19">
        <v>0</v>
      </c>
      <c r="BC3" s="19">
        <v>0</v>
      </c>
      <c r="BD3" s="19">
        <v>178</v>
      </c>
      <c r="BE3" s="19">
        <v>0</v>
      </c>
      <c r="BF3" s="19">
        <v>21</v>
      </c>
      <c r="BG3" s="19">
        <v>0</v>
      </c>
      <c r="BH3" s="19">
        <v>544</v>
      </c>
      <c r="BI3" s="19">
        <v>273</v>
      </c>
      <c r="BJ3" s="19">
        <v>51</v>
      </c>
      <c r="BK3" s="19">
        <v>387</v>
      </c>
      <c r="BL3" s="19">
        <v>36494</v>
      </c>
      <c r="BM3" s="19">
        <v>2382</v>
      </c>
      <c r="BN3" s="19">
        <v>165</v>
      </c>
      <c r="BO3" s="19">
        <v>11796</v>
      </c>
      <c r="BP3" s="19">
        <v>0</v>
      </c>
      <c r="BQ3" s="19">
        <v>0</v>
      </c>
      <c r="BR3" s="19">
        <v>1</v>
      </c>
      <c r="BS3" s="19">
        <v>0</v>
      </c>
      <c r="BT3" s="19">
        <v>1</v>
      </c>
      <c r="BU3" s="19">
        <v>0</v>
      </c>
      <c r="BV3" s="19">
        <v>0</v>
      </c>
      <c r="BW3" s="19">
        <v>1</v>
      </c>
      <c r="BX3" s="19">
        <v>0</v>
      </c>
      <c r="BY3" s="19">
        <v>0</v>
      </c>
      <c r="BZ3" s="19">
        <v>0</v>
      </c>
      <c r="CA3" s="19">
        <v>0</v>
      </c>
      <c r="CB3" s="19">
        <v>0</v>
      </c>
      <c r="CC3" s="19">
        <v>0</v>
      </c>
      <c r="CD3" s="19">
        <v>0</v>
      </c>
      <c r="CE3" s="19">
        <v>0</v>
      </c>
      <c r="CF3" s="19">
        <v>0</v>
      </c>
      <c r="CG3" s="19">
        <v>0</v>
      </c>
      <c r="CH3" s="19">
        <v>0</v>
      </c>
      <c r="CI3" s="19">
        <v>0</v>
      </c>
      <c r="CJ3" s="19">
        <v>0</v>
      </c>
      <c r="CK3" s="19">
        <v>0</v>
      </c>
      <c r="CL3" s="19">
        <v>0</v>
      </c>
      <c r="CM3" s="19">
        <v>0</v>
      </c>
      <c r="CN3" s="19">
        <v>0</v>
      </c>
      <c r="CO3" s="19">
        <v>0</v>
      </c>
      <c r="CP3" s="19">
        <v>1</v>
      </c>
      <c r="CQ3" s="19">
        <v>1</v>
      </c>
      <c r="CR3" s="19">
        <v>1</v>
      </c>
      <c r="CS3" s="19">
        <v>1</v>
      </c>
      <c r="CT3" s="19">
        <v>0</v>
      </c>
      <c r="CU3" s="19">
        <v>0</v>
      </c>
      <c r="CV3" s="19">
        <v>0</v>
      </c>
      <c r="CW3" s="19">
        <v>0</v>
      </c>
      <c r="CX3" s="19">
        <v>0</v>
      </c>
      <c r="CY3" s="19">
        <v>0</v>
      </c>
      <c r="CZ3" s="19">
        <v>0</v>
      </c>
      <c r="DA3" s="19">
        <v>0</v>
      </c>
      <c r="DB3" s="19">
        <v>0</v>
      </c>
      <c r="DC3" s="19">
        <v>0</v>
      </c>
      <c r="DD3" s="19">
        <v>0</v>
      </c>
      <c r="DE3" s="19">
        <v>0</v>
      </c>
      <c r="DF3" s="19">
        <v>0</v>
      </c>
      <c r="DG3" s="19">
        <v>0</v>
      </c>
      <c r="DH3" s="19">
        <v>0</v>
      </c>
      <c r="DI3" s="19">
        <v>0</v>
      </c>
      <c r="DJ3" s="21">
        <v>10812</v>
      </c>
      <c r="DK3" s="19">
        <v>73265944</v>
      </c>
      <c r="DL3" s="19">
        <v>48888460</v>
      </c>
      <c r="DM3" s="19">
        <v>3000</v>
      </c>
      <c r="DN3" s="19">
        <v>2109732</v>
      </c>
      <c r="DO3" s="19">
        <v>1288420</v>
      </c>
      <c r="DP3" s="19">
        <v>16005127</v>
      </c>
      <c r="DQ3" s="19">
        <v>2122105</v>
      </c>
      <c r="DR3" s="19">
        <v>2247411</v>
      </c>
      <c r="DS3" s="19">
        <v>601689</v>
      </c>
      <c r="DT3" s="22">
        <v>0.25</v>
      </c>
    </row>
    <row r="4" spans="1:124" x14ac:dyDescent="0.35">
      <c r="A4" s="19" t="s">
        <v>124</v>
      </c>
      <c r="B4" s="19" t="s">
        <v>126</v>
      </c>
      <c r="C4" s="19">
        <v>235266.56987212488</v>
      </c>
      <c r="D4" s="19">
        <v>37642.651179539978</v>
      </c>
      <c r="E4" s="20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21">
        <v>10926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0</v>
      </c>
      <c r="DR4" s="19">
        <v>0</v>
      </c>
      <c r="DS4" s="19">
        <v>0</v>
      </c>
      <c r="DT4" s="22">
        <v>0.18</v>
      </c>
    </row>
    <row r="5" spans="1:124" x14ac:dyDescent="0.35">
      <c r="A5" s="19" t="s">
        <v>124</v>
      </c>
      <c r="B5" s="19" t="s">
        <v>127</v>
      </c>
      <c r="C5" s="19">
        <v>1389022.784117745</v>
      </c>
      <c r="D5" s="19">
        <v>222243.64545883919</v>
      </c>
      <c r="E5" s="20">
        <v>583543</v>
      </c>
      <c r="F5" s="19">
        <v>0</v>
      </c>
      <c r="G5" s="19">
        <v>1544</v>
      </c>
      <c r="H5" s="19">
        <v>439</v>
      </c>
      <c r="I5" s="19">
        <v>502501</v>
      </c>
      <c r="J5" s="19">
        <v>0</v>
      </c>
      <c r="K5" s="19">
        <v>2323</v>
      </c>
      <c r="L5" s="19">
        <v>182</v>
      </c>
      <c r="M5" s="19">
        <v>6447</v>
      </c>
      <c r="N5" s="19">
        <v>2636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1540</v>
      </c>
      <c r="U5" s="19">
        <v>57794</v>
      </c>
      <c r="V5" s="19">
        <v>0</v>
      </c>
      <c r="W5" s="19">
        <v>531</v>
      </c>
      <c r="X5" s="19">
        <v>110</v>
      </c>
      <c r="Y5" s="19">
        <v>4149</v>
      </c>
      <c r="Z5" s="19">
        <v>3347</v>
      </c>
      <c r="AA5" s="19">
        <v>0</v>
      </c>
      <c r="AB5" s="19">
        <v>0</v>
      </c>
      <c r="AC5" s="19">
        <v>0</v>
      </c>
      <c r="AD5" s="19">
        <v>10760.102307692308</v>
      </c>
      <c r="AE5" s="19">
        <v>5025.01</v>
      </c>
      <c r="AF5" s="19">
        <v>1289.4000000000001</v>
      </c>
      <c r="AG5" s="19">
        <v>0</v>
      </c>
      <c r="AH5" s="19">
        <v>4445.6923076923076</v>
      </c>
      <c r="AI5" s="19">
        <v>0</v>
      </c>
      <c r="AJ5" s="19">
        <v>0</v>
      </c>
      <c r="AK5" s="19">
        <v>21122</v>
      </c>
      <c r="AL5" s="19">
        <v>4189</v>
      </c>
      <c r="AM5" s="19">
        <v>1375</v>
      </c>
      <c r="AN5" s="19">
        <v>10911</v>
      </c>
      <c r="AO5" s="19">
        <v>4647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11</v>
      </c>
      <c r="BB5" s="19">
        <v>0</v>
      </c>
      <c r="BC5" s="19">
        <v>0</v>
      </c>
      <c r="BD5" s="19">
        <v>11</v>
      </c>
      <c r="BE5" s="19">
        <v>0</v>
      </c>
      <c r="BF5" s="19">
        <v>10</v>
      </c>
      <c r="BG5" s="19">
        <v>0</v>
      </c>
      <c r="BH5" s="19">
        <v>184</v>
      </c>
      <c r="BI5" s="19">
        <v>45</v>
      </c>
      <c r="BJ5" s="19">
        <v>292</v>
      </c>
      <c r="BK5" s="19">
        <v>830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1</v>
      </c>
      <c r="BS5" s="19">
        <v>0</v>
      </c>
      <c r="BT5" s="19">
        <v>0</v>
      </c>
      <c r="BU5" s="19">
        <v>1</v>
      </c>
      <c r="BV5" s="19">
        <v>1</v>
      </c>
      <c r="BW5" s="19">
        <v>1</v>
      </c>
      <c r="BX5" s="19">
        <v>1</v>
      </c>
      <c r="BY5" s="19">
        <v>1</v>
      </c>
      <c r="BZ5" s="19">
        <v>1</v>
      </c>
      <c r="CA5" s="19">
        <v>1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0</v>
      </c>
      <c r="CN5" s="19">
        <v>0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0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  <c r="DH5" s="19">
        <v>0</v>
      </c>
      <c r="DI5" s="19">
        <v>0</v>
      </c>
      <c r="DJ5" s="21">
        <v>80901</v>
      </c>
      <c r="DK5" s="19">
        <v>13927629</v>
      </c>
      <c r="DL5" s="19">
        <v>5604008</v>
      </c>
      <c r="DM5" s="19">
        <v>0</v>
      </c>
      <c r="DN5" s="19">
        <v>729668</v>
      </c>
      <c r="DO5" s="19">
        <v>174</v>
      </c>
      <c r="DP5" s="19">
        <v>6063566</v>
      </c>
      <c r="DQ5" s="19">
        <v>0</v>
      </c>
      <c r="DR5" s="19">
        <v>1497019</v>
      </c>
      <c r="DS5" s="19">
        <v>33194</v>
      </c>
      <c r="DT5" s="22">
        <v>0.17</v>
      </c>
    </row>
    <row r="6" spans="1:124" x14ac:dyDescent="0.35">
      <c r="A6" s="19" t="s">
        <v>124</v>
      </c>
      <c r="B6" s="19" t="s">
        <v>128</v>
      </c>
      <c r="C6" s="19">
        <v>1464440.0046007989</v>
      </c>
      <c r="D6" s="19">
        <v>234310.40073612783</v>
      </c>
      <c r="E6" s="20">
        <v>4122174</v>
      </c>
      <c r="F6" s="19">
        <v>4</v>
      </c>
      <c r="G6" s="19">
        <v>29574</v>
      </c>
      <c r="H6" s="19">
        <v>605</v>
      </c>
      <c r="I6" s="19">
        <v>4009867</v>
      </c>
      <c r="J6" s="19">
        <v>0</v>
      </c>
      <c r="K6" s="19">
        <v>5974</v>
      </c>
      <c r="L6" s="19">
        <v>190</v>
      </c>
      <c r="M6" s="19">
        <v>4109</v>
      </c>
      <c r="N6" s="19">
        <v>284</v>
      </c>
      <c r="O6" s="19">
        <v>0</v>
      </c>
      <c r="P6" s="19">
        <v>0</v>
      </c>
      <c r="Q6" s="19">
        <v>0</v>
      </c>
      <c r="R6" s="19">
        <v>4</v>
      </c>
      <c r="S6" s="19">
        <v>0</v>
      </c>
      <c r="T6" s="19">
        <v>620</v>
      </c>
      <c r="U6" s="19">
        <v>52550</v>
      </c>
      <c r="V6" s="19">
        <v>0</v>
      </c>
      <c r="W6" s="19">
        <v>179</v>
      </c>
      <c r="X6" s="19">
        <v>29</v>
      </c>
      <c r="Y6" s="19">
        <v>4469</v>
      </c>
      <c r="Z6" s="19">
        <v>13698</v>
      </c>
      <c r="AA6" s="19">
        <v>0</v>
      </c>
      <c r="AB6" s="19">
        <v>0</v>
      </c>
      <c r="AC6" s="19">
        <v>18</v>
      </c>
      <c r="AD6" s="19">
        <v>45244.777692307696</v>
      </c>
      <c r="AE6" s="19">
        <v>40098.67</v>
      </c>
      <c r="AF6" s="19">
        <v>821.8</v>
      </c>
      <c r="AG6" s="19">
        <v>282</v>
      </c>
      <c r="AH6" s="19">
        <v>4042.3076923076924</v>
      </c>
      <c r="AI6" s="19">
        <v>0</v>
      </c>
      <c r="AJ6" s="19">
        <v>0</v>
      </c>
      <c r="AK6" s="19">
        <v>41682</v>
      </c>
      <c r="AL6" s="19">
        <v>33417</v>
      </c>
      <c r="AM6" s="19">
        <v>1012</v>
      </c>
      <c r="AN6" s="19">
        <v>939</v>
      </c>
      <c r="AO6" s="19">
        <v>6314</v>
      </c>
      <c r="AP6" s="19">
        <v>0</v>
      </c>
      <c r="AQ6" s="19">
        <v>0</v>
      </c>
      <c r="AR6" s="19">
        <v>1449</v>
      </c>
      <c r="AS6" s="19">
        <v>282</v>
      </c>
      <c r="AT6" s="19">
        <v>557</v>
      </c>
      <c r="AU6" s="19">
        <v>0</v>
      </c>
      <c r="AV6" s="19">
        <v>0</v>
      </c>
      <c r="AW6" s="19">
        <v>975</v>
      </c>
      <c r="AX6" s="19">
        <v>0</v>
      </c>
      <c r="AY6" s="19">
        <v>0</v>
      </c>
      <c r="AZ6" s="19">
        <v>28</v>
      </c>
      <c r="BA6" s="19">
        <v>19</v>
      </c>
      <c r="BB6" s="19">
        <v>4</v>
      </c>
      <c r="BC6" s="19">
        <v>3</v>
      </c>
      <c r="BD6" s="19">
        <v>54</v>
      </c>
      <c r="BE6" s="19">
        <v>0</v>
      </c>
      <c r="BF6" s="19">
        <v>0</v>
      </c>
      <c r="BG6" s="19">
        <v>0</v>
      </c>
      <c r="BH6" s="19">
        <v>297</v>
      </c>
      <c r="BI6" s="19">
        <v>289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1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1</v>
      </c>
      <c r="CA6" s="19">
        <v>1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  <c r="DH6" s="19">
        <v>0</v>
      </c>
      <c r="DI6" s="19">
        <v>0</v>
      </c>
      <c r="DJ6" s="21">
        <v>10922</v>
      </c>
      <c r="DK6" s="19">
        <v>75599594</v>
      </c>
      <c r="DL6" s="19">
        <v>60240256</v>
      </c>
      <c r="DM6" s="19">
        <v>0</v>
      </c>
      <c r="DN6" s="19">
        <v>503512</v>
      </c>
      <c r="DO6" s="19">
        <v>58479</v>
      </c>
      <c r="DP6" s="19">
        <v>12506649</v>
      </c>
      <c r="DQ6" s="19">
        <v>1010</v>
      </c>
      <c r="DR6" s="19">
        <v>1666905</v>
      </c>
      <c r="DS6" s="19">
        <v>622783</v>
      </c>
      <c r="DT6" s="22">
        <v>0.2</v>
      </c>
    </row>
    <row r="7" spans="1:124" x14ac:dyDescent="0.35">
      <c r="A7" s="19" t="s">
        <v>124</v>
      </c>
      <c r="B7" s="19" t="s">
        <v>129</v>
      </c>
      <c r="C7" s="19">
        <v>362347.76786469802</v>
      </c>
      <c r="D7" s="19">
        <v>57975.642858351683</v>
      </c>
      <c r="E7" s="20">
        <v>251588</v>
      </c>
      <c r="F7" s="19">
        <v>12</v>
      </c>
      <c r="G7" s="19">
        <v>0</v>
      </c>
      <c r="H7" s="19">
        <v>395</v>
      </c>
      <c r="I7" s="19">
        <v>220986</v>
      </c>
      <c r="J7" s="19">
        <v>4</v>
      </c>
      <c r="K7" s="19">
        <v>1930</v>
      </c>
      <c r="L7" s="19">
        <v>56</v>
      </c>
      <c r="M7" s="19">
        <v>6971</v>
      </c>
      <c r="N7" s="19">
        <v>1001</v>
      </c>
      <c r="O7" s="19">
        <v>0</v>
      </c>
      <c r="P7" s="19">
        <v>20</v>
      </c>
      <c r="Q7" s="19">
        <v>0</v>
      </c>
      <c r="R7" s="19">
        <v>0</v>
      </c>
      <c r="S7" s="19">
        <v>2</v>
      </c>
      <c r="T7" s="19">
        <v>240</v>
      </c>
      <c r="U7" s="19">
        <v>15023</v>
      </c>
      <c r="V7" s="19">
        <v>1</v>
      </c>
      <c r="W7" s="19">
        <v>169</v>
      </c>
      <c r="X7" s="19">
        <v>85</v>
      </c>
      <c r="Y7" s="19">
        <v>1683</v>
      </c>
      <c r="Z7" s="19">
        <v>2895</v>
      </c>
      <c r="AA7" s="19">
        <v>0</v>
      </c>
      <c r="AB7" s="19">
        <v>0</v>
      </c>
      <c r="AC7" s="19">
        <v>115</v>
      </c>
      <c r="AD7" s="19">
        <v>4997.6753846153852</v>
      </c>
      <c r="AE7" s="19">
        <v>2209.86</v>
      </c>
      <c r="AF7" s="19">
        <v>1394.2</v>
      </c>
      <c r="AG7" s="19">
        <v>238</v>
      </c>
      <c r="AH7" s="19">
        <v>1155.6153846153845</v>
      </c>
      <c r="AI7" s="19">
        <v>0</v>
      </c>
      <c r="AJ7" s="19">
        <v>0</v>
      </c>
      <c r="AK7" s="19">
        <v>8928</v>
      </c>
      <c r="AL7" s="19">
        <v>1841</v>
      </c>
      <c r="AM7" s="19">
        <v>1576</v>
      </c>
      <c r="AN7" s="19">
        <v>3477</v>
      </c>
      <c r="AO7" s="19">
        <v>2034</v>
      </c>
      <c r="AP7" s="19">
        <v>0</v>
      </c>
      <c r="AQ7" s="19">
        <v>0</v>
      </c>
      <c r="AR7" s="19">
        <v>2054</v>
      </c>
      <c r="AS7" s="19">
        <v>238</v>
      </c>
      <c r="AT7" s="19">
        <v>0</v>
      </c>
      <c r="AU7" s="19">
        <v>0</v>
      </c>
      <c r="AV7" s="19">
        <v>0</v>
      </c>
      <c r="AW7" s="19">
        <v>625</v>
      </c>
      <c r="AX7" s="19">
        <v>0</v>
      </c>
      <c r="AY7" s="19">
        <v>0</v>
      </c>
      <c r="AZ7" s="19">
        <v>14</v>
      </c>
      <c r="BA7" s="19">
        <v>15</v>
      </c>
      <c r="BB7" s="19">
        <v>0</v>
      </c>
      <c r="BC7" s="19">
        <v>0</v>
      </c>
      <c r="BD7" s="19">
        <v>29</v>
      </c>
      <c r="BE7" s="19">
        <v>0</v>
      </c>
      <c r="BF7" s="19">
        <v>1</v>
      </c>
      <c r="BG7" s="19">
        <v>0</v>
      </c>
      <c r="BH7" s="19">
        <v>108</v>
      </c>
      <c r="BI7" s="19">
        <v>1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1</v>
      </c>
      <c r="BQ7" s="19">
        <v>0</v>
      </c>
      <c r="BR7" s="19">
        <v>1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1</v>
      </c>
      <c r="CA7" s="19">
        <v>1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0</v>
      </c>
      <c r="DJ7" s="21">
        <v>10811</v>
      </c>
      <c r="DK7" s="19">
        <v>6555759</v>
      </c>
      <c r="DL7" s="19">
        <v>1355905</v>
      </c>
      <c r="DM7" s="19">
        <v>0</v>
      </c>
      <c r="DN7" s="19">
        <v>753556</v>
      </c>
      <c r="DO7" s="19">
        <v>168796</v>
      </c>
      <c r="DP7" s="19">
        <v>3797300</v>
      </c>
      <c r="DQ7" s="19">
        <v>24925</v>
      </c>
      <c r="DR7" s="19">
        <v>455277</v>
      </c>
      <c r="DS7" s="19">
        <v>0</v>
      </c>
      <c r="DT7" s="22">
        <v>0.18</v>
      </c>
    </row>
    <row r="8" spans="1:124" x14ac:dyDescent="0.35">
      <c r="A8" s="19" t="s">
        <v>124</v>
      </c>
      <c r="B8" s="19" t="s">
        <v>130</v>
      </c>
      <c r="C8" s="19">
        <v>1096659.9967879648</v>
      </c>
      <c r="D8" s="19">
        <v>175465.59948607438</v>
      </c>
      <c r="E8" s="20">
        <v>2423665</v>
      </c>
      <c r="F8" s="19">
        <v>0</v>
      </c>
      <c r="G8" s="19">
        <v>7443</v>
      </c>
      <c r="H8" s="19">
        <v>321</v>
      </c>
      <c r="I8" s="19">
        <v>2383991</v>
      </c>
      <c r="J8" s="19">
        <v>0</v>
      </c>
      <c r="K8" s="19">
        <v>364</v>
      </c>
      <c r="L8" s="19">
        <v>82</v>
      </c>
      <c r="M8" s="19">
        <v>7008</v>
      </c>
      <c r="N8" s="19">
        <v>3017</v>
      </c>
      <c r="O8" s="19">
        <v>0</v>
      </c>
      <c r="P8" s="19">
        <v>0</v>
      </c>
      <c r="Q8" s="19">
        <v>0</v>
      </c>
      <c r="R8" s="19">
        <v>21</v>
      </c>
      <c r="S8" s="19">
        <v>0</v>
      </c>
      <c r="T8" s="19">
        <v>0</v>
      </c>
      <c r="U8" s="19">
        <v>19866</v>
      </c>
      <c r="V8" s="19">
        <v>0</v>
      </c>
      <c r="W8" s="19">
        <v>151</v>
      </c>
      <c r="X8" s="19">
        <v>10</v>
      </c>
      <c r="Y8" s="19">
        <v>690</v>
      </c>
      <c r="Z8" s="19">
        <v>701</v>
      </c>
      <c r="AA8" s="19">
        <v>0</v>
      </c>
      <c r="AB8" s="19">
        <v>0</v>
      </c>
      <c r="AC8" s="19">
        <v>0</v>
      </c>
      <c r="AD8" s="19">
        <v>27923.663846153846</v>
      </c>
      <c r="AE8" s="19">
        <v>23839.91</v>
      </c>
      <c r="AF8" s="19">
        <v>1401.6</v>
      </c>
      <c r="AG8" s="19">
        <v>1154</v>
      </c>
      <c r="AH8" s="19">
        <v>1528.1538461538462</v>
      </c>
      <c r="AI8" s="19">
        <v>0</v>
      </c>
      <c r="AJ8" s="19">
        <v>0</v>
      </c>
      <c r="AK8" s="19">
        <v>34745</v>
      </c>
      <c r="AL8" s="19">
        <v>19867</v>
      </c>
      <c r="AM8" s="19">
        <v>1459</v>
      </c>
      <c r="AN8" s="19">
        <v>11639</v>
      </c>
      <c r="AO8" s="19">
        <v>1780</v>
      </c>
      <c r="AP8" s="19">
        <v>0</v>
      </c>
      <c r="AQ8" s="19">
        <v>0</v>
      </c>
      <c r="AR8" s="19">
        <v>6133</v>
      </c>
      <c r="AS8" s="19">
        <v>1154</v>
      </c>
      <c r="AT8" s="19">
        <v>3198</v>
      </c>
      <c r="AU8" s="19">
        <v>22</v>
      </c>
      <c r="AV8" s="19">
        <v>0</v>
      </c>
      <c r="AW8" s="19">
        <v>1743</v>
      </c>
      <c r="AX8" s="19">
        <v>30</v>
      </c>
      <c r="AY8" s="19">
        <v>0</v>
      </c>
      <c r="AZ8" s="19">
        <v>1</v>
      </c>
      <c r="BA8" s="19">
        <v>33</v>
      </c>
      <c r="BB8" s="19">
        <v>0</v>
      </c>
      <c r="BC8" s="19">
        <v>0</v>
      </c>
      <c r="BD8" s="19">
        <v>34</v>
      </c>
      <c r="BE8" s="19">
        <v>0</v>
      </c>
      <c r="BF8" s="19">
        <v>11</v>
      </c>
      <c r="BG8" s="19">
        <v>0</v>
      </c>
      <c r="BH8" s="19">
        <v>189</v>
      </c>
      <c r="BI8" s="19">
        <v>118</v>
      </c>
      <c r="BJ8" s="19">
        <v>158</v>
      </c>
      <c r="BK8" s="19">
        <v>472</v>
      </c>
      <c r="BL8" s="19">
        <v>0</v>
      </c>
      <c r="BM8" s="19">
        <v>0</v>
      </c>
      <c r="BN8" s="19">
        <v>0</v>
      </c>
      <c r="BO8" s="19">
        <v>0</v>
      </c>
      <c r="BP8" s="19">
        <v>1</v>
      </c>
      <c r="BQ8" s="19">
        <v>1</v>
      </c>
      <c r="BR8" s="19">
        <v>1</v>
      </c>
      <c r="BS8" s="19">
        <v>0</v>
      </c>
      <c r="BT8" s="19">
        <v>1</v>
      </c>
      <c r="BU8" s="19">
        <v>0</v>
      </c>
      <c r="BV8" s="19">
        <v>0</v>
      </c>
      <c r="BW8" s="19">
        <v>1</v>
      </c>
      <c r="BX8" s="19">
        <v>0</v>
      </c>
      <c r="BY8" s="19">
        <v>0</v>
      </c>
      <c r="BZ8" s="19">
        <v>1</v>
      </c>
      <c r="CA8" s="19">
        <v>1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1</v>
      </c>
      <c r="DG8" s="19">
        <v>0</v>
      </c>
      <c r="DH8" s="19">
        <v>0</v>
      </c>
      <c r="DI8" s="19">
        <v>0</v>
      </c>
      <c r="DJ8" s="21">
        <v>10906</v>
      </c>
      <c r="DK8" s="19">
        <v>34701383</v>
      </c>
      <c r="DL8" s="19">
        <v>31906341</v>
      </c>
      <c r="DM8" s="19">
        <v>0</v>
      </c>
      <c r="DN8" s="19">
        <v>693422</v>
      </c>
      <c r="DO8" s="19">
        <v>186372</v>
      </c>
      <c r="DP8" s="19">
        <v>1219195</v>
      </c>
      <c r="DQ8" s="19">
        <v>0</v>
      </c>
      <c r="DR8" s="19">
        <v>539758</v>
      </c>
      <c r="DS8" s="19">
        <v>156295</v>
      </c>
      <c r="DT8" s="22">
        <v>0.17</v>
      </c>
    </row>
    <row r="9" spans="1:124" x14ac:dyDescent="0.35">
      <c r="A9" s="19" t="s">
        <v>124</v>
      </c>
      <c r="B9" s="19" t="s">
        <v>131</v>
      </c>
      <c r="C9" s="19">
        <v>398112.97997508716</v>
      </c>
      <c r="D9" s="19">
        <v>63698.076796013949</v>
      </c>
      <c r="E9" s="20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14</v>
      </c>
      <c r="BB9" s="19">
        <v>0</v>
      </c>
      <c r="BC9" s="19">
        <v>0</v>
      </c>
      <c r="BD9" s="19">
        <v>14</v>
      </c>
      <c r="BE9" s="19">
        <v>0</v>
      </c>
      <c r="BF9" s="19">
        <v>0</v>
      </c>
      <c r="BG9" s="19">
        <v>0</v>
      </c>
      <c r="BH9" s="19">
        <v>31</v>
      </c>
      <c r="BI9" s="19">
        <v>54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1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21">
        <v>10927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22">
        <v>0.2</v>
      </c>
    </row>
    <row r="10" spans="1:124" x14ac:dyDescent="0.35">
      <c r="A10" s="19" t="s">
        <v>124</v>
      </c>
      <c r="B10" s="19" t="s">
        <v>132</v>
      </c>
      <c r="C10" s="19">
        <v>1979531.1006081379</v>
      </c>
      <c r="D10" s="19">
        <v>316724.97609730205</v>
      </c>
      <c r="E10" s="20">
        <v>4424251</v>
      </c>
      <c r="F10" s="19">
        <v>2107</v>
      </c>
      <c r="G10" s="19">
        <v>5996</v>
      </c>
      <c r="H10" s="19">
        <v>1397</v>
      </c>
      <c r="I10" s="19">
        <v>4176090</v>
      </c>
      <c r="J10" s="19">
        <v>284</v>
      </c>
      <c r="K10" s="19">
        <v>2660</v>
      </c>
      <c r="L10" s="19">
        <v>422</v>
      </c>
      <c r="M10" s="19">
        <v>12068</v>
      </c>
      <c r="N10" s="19">
        <v>20062</v>
      </c>
      <c r="O10" s="19">
        <v>10</v>
      </c>
      <c r="P10" s="19">
        <v>2215</v>
      </c>
      <c r="Q10" s="19">
        <v>0</v>
      </c>
      <c r="R10" s="19">
        <v>44</v>
      </c>
      <c r="S10" s="19">
        <v>534</v>
      </c>
      <c r="T10" s="19">
        <v>71060</v>
      </c>
      <c r="U10" s="19">
        <v>81347</v>
      </c>
      <c r="V10" s="19">
        <v>625</v>
      </c>
      <c r="W10" s="19">
        <v>437</v>
      </c>
      <c r="X10" s="19">
        <v>34</v>
      </c>
      <c r="Y10" s="19">
        <v>13348</v>
      </c>
      <c r="Z10" s="19">
        <v>13785</v>
      </c>
      <c r="AA10" s="19">
        <v>0</v>
      </c>
      <c r="AB10" s="19">
        <v>40</v>
      </c>
      <c r="AC10" s="19">
        <v>19686</v>
      </c>
      <c r="AD10" s="19">
        <v>76420.961538461532</v>
      </c>
      <c r="AE10" s="19">
        <v>41760.9</v>
      </c>
      <c r="AF10" s="19">
        <v>2413.6</v>
      </c>
      <c r="AG10" s="19">
        <v>25979</v>
      </c>
      <c r="AH10" s="19">
        <v>6257.4615384615381</v>
      </c>
      <c r="AI10" s="19">
        <v>10</v>
      </c>
      <c r="AJ10" s="19">
        <v>0</v>
      </c>
      <c r="AK10" s="19">
        <v>121501</v>
      </c>
      <c r="AL10" s="19">
        <v>34800</v>
      </c>
      <c r="AM10" s="19">
        <v>2443</v>
      </c>
      <c r="AN10" s="19">
        <v>70466</v>
      </c>
      <c r="AO10" s="19">
        <v>13754</v>
      </c>
      <c r="AP10" s="19">
        <v>0</v>
      </c>
      <c r="AQ10" s="19">
        <v>38</v>
      </c>
      <c r="AR10" s="19">
        <v>116044</v>
      </c>
      <c r="AS10" s="19">
        <v>25979</v>
      </c>
      <c r="AT10" s="19">
        <v>34227</v>
      </c>
      <c r="AU10" s="19">
        <v>7677.7000000000007</v>
      </c>
      <c r="AV10" s="19">
        <v>1847</v>
      </c>
      <c r="AW10" s="19">
        <v>45564</v>
      </c>
      <c r="AX10" s="19">
        <v>9293</v>
      </c>
      <c r="AY10" s="19">
        <v>0</v>
      </c>
      <c r="AZ10" s="19">
        <v>98</v>
      </c>
      <c r="BA10" s="19">
        <v>130</v>
      </c>
      <c r="BB10" s="19">
        <v>2</v>
      </c>
      <c r="BC10" s="19">
        <v>16</v>
      </c>
      <c r="BD10" s="19">
        <v>246</v>
      </c>
      <c r="BE10" s="19">
        <v>0</v>
      </c>
      <c r="BF10" s="19">
        <v>43</v>
      </c>
      <c r="BG10" s="19">
        <v>5</v>
      </c>
      <c r="BH10" s="19">
        <v>385</v>
      </c>
      <c r="BI10" s="19">
        <v>151</v>
      </c>
      <c r="BJ10" s="19">
        <v>0</v>
      </c>
      <c r="BK10" s="19">
        <v>0</v>
      </c>
      <c r="BL10" s="19">
        <v>32560</v>
      </c>
      <c r="BM10" s="19">
        <v>1329</v>
      </c>
      <c r="BN10" s="19">
        <v>231</v>
      </c>
      <c r="BO10" s="19">
        <v>12715</v>
      </c>
      <c r="BP10" s="19">
        <v>1</v>
      </c>
      <c r="BQ10" s="19">
        <v>0</v>
      </c>
      <c r="BR10" s="19">
        <v>1</v>
      </c>
      <c r="BS10" s="19">
        <v>0</v>
      </c>
      <c r="BT10" s="19">
        <v>1</v>
      </c>
      <c r="BU10" s="19">
        <v>0</v>
      </c>
      <c r="BV10" s="19">
        <v>0</v>
      </c>
      <c r="BW10" s="19">
        <v>1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1</v>
      </c>
      <c r="CQ10" s="19">
        <v>1</v>
      </c>
      <c r="CR10" s="19">
        <v>1</v>
      </c>
      <c r="CS10" s="19">
        <v>1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1</v>
      </c>
      <c r="DE10" s="19">
        <v>1</v>
      </c>
      <c r="DF10" s="19">
        <v>0</v>
      </c>
      <c r="DG10" s="19">
        <v>0</v>
      </c>
      <c r="DH10" s="19">
        <v>0</v>
      </c>
      <c r="DI10" s="19">
        <v>1</v>
      </c>
      <c r="DJ10" s="21">
        <v>10916</v>
      </c>
      <c r="DK10" s="19">
        <v>65735008</v>
      </c>
      <c r="DL10" s="19">
        <v>44030205</v>
      </c>
      <c r="DM10" s="19">
        <v>2000</v>
      </c>
      <c r="DN10" s="19">
        <v>1233025</v>
      </c>
      <c r="DO10" s="19">
        <v>2352480</v>
      </c>
      <c r="DP10" s="19">
        <v>11322495</v>
      </c>
      <c r="DQ10" s="19">
        <v>3899963</v>
      </c>
      <c r="DR10" s="19">
        <v>2767406</v>
      </c>
      <c r="DS10" s="19">
        <v>127434</v>
      </c>
      <c r="DT10" s="22">
        <v>0.21</v>
      </c>
    </row>
    <row r="11" spans="1:124" x14ac:dyDescent="0.35">
      <c r="A11" s="19" t="s">
        <v>124</v>
      </c>
      <c r="B11" s="19" t="s">
        <v>133</v>
      </c>
      <c r="C11" s="19">
        <v>1973391.38609062</v>
      </c>
      <c r="D11" s="19">
        <v>315742.62177449919</v>
      </c>
      <c r="E11" s="20">
        <v>5737135</v>
      </c>
      <c r="F11" s="19">
        <v>4284</v>
      </c>
      <c r="G11" s="19">
        <v>48232</v>
      </c>
      <c r="H11" s="19">
        <v>625</v>
      </c>
      <c r="I11" s="19">
        <v>5148919</v>
      </c>
      <c r="J11" s="19">
        <v>281</v>
      </c>
      <c r="K11" s="19">
        <v>18407</v>
      </c>
      <c r="L11" s="19">
        <v>943</v>
      </c>
      <c r="M11" s="19">
        <v>63623</v>
      </c>
      <c r="N11" s="19">
        <v>18507</v>
      </c>
      <c r="O11" s="19">
        <v>0</v>
      </c>
      <c r="P11" s="19">
        <v>3804</v>
      </c>
      <c r="Q11" s="19">
        <v>0</v>
      </c>
      <c r="R11" s="19">
        <v>104</v>
      </c>
      <c r="S11" s="19">
        <v>352</v>
      </c>
      <c r="T11" s="19">
        <v>29640</v>
      </c>
      <c r="U11" s="19">
        <v>320928</v>
      </c>
      <c r="V11" s="19">
        <v>678</v>
      </c>
      <c r="W11" s="19">
        <v>659</v>
      </c>
      <c r="X11" s="19">
        <v>441</v>
      </c>
      <c r="Y11" s="19">
        <v>27606</v>
      </c>
      <c r="Z11" s="19">
        <v>40204</v>
      </c>
      <c r="AA11" s="19">
        <v>20</v>
      </c>
      <c r="AB11" s="19">
        <v>0</v>
      </c>
      <c r="AC11" s="19">
        <v>8878</v>
      </c>
      <c r="AD11" s="19">
        <v>121131.55923076924</v>
      </c>
      <c r="AE11" s="19">
        <v>51489.19</v>
      </c>
      <c r="AF11" s="19">
        <v>12724.6</v>
      </c>
      <c r="AG11" s="19">
        <v>32211</v>
      </c>
      <c r="AH11" s="19">
        <v>24686.76923076923</v>
      </c>
      <c r="AI11" s="19">
        <v>0</v>
      </c>
      <c r="AJ11" s="19">
        <v>20</v>
      </c>
      <c r="AK11" s="19">
        <v>153481</v>
      </c>
      <c r="AL11" s="19">
        <v>42908</v>
      </c>
      <c r="AM11" s="19">
        <v>11235</v>
      </c>
      <c r="AN11" s="19">
        <v>64859</v>
      </c>
      <c r="AO11" s="19">
        <v>34279</v>
      </c>
      <c r="AP11" s="19">
        <v>200</v>
      </c>
      <c r="AQ11" s="19">
        <v>0</v>
      </c>
      <c r="AR11" s="19">
        <v>126040</v>
      </c>
      <c r="AS11" s="19">
        <v>32211</v>
      </c>
      <c r="AT11" s="19">
        <v>26239</v>
      </c>
      <c r="AU11" s="19">
        <v>9208.2000000000007</v>
      </c>
      <c r="AV11" s="19">
        <v>913</v>
      </c>
      <c r="AW11" s="19">
        <v>75356</v>
      </c>
      <c r="AX11" s="19">
        <v>11808</v>
      </c>
      <c r="AY11" s="19">
        <v>5604.2591437287901</v>
      </c>
      <c r="AZ11" s="19">
        <v>188</v>
      </c>
      <c r="BA11" s="19">
        <v>110</v>
      </c>
      <c r="BB11" s="19">
        <v>0</v>
      </c>
      <c r="BC11" s="19">
        <v>11</v>
      </c>
      <c r="BD11" s="19">
        <v>309</v>
      </c>
      <c r="BE11" s="19">
        <v>81</v>
      </c>
      <c r="BF11" s="19">
        <v>16</v>
      </c>
      <c r="BG11" s="19">
        <v>1</v>
      </c>
      <c r="BH11" s="19">
        <v>657</v>
      </c>
      <c r="BI11" s="19">
        <v>326</v>
      </c>
      <c r="BJ11" s="19">
        <v>0</v>
      </c>
      <c r="BK11" s="19">
        <v>0</v>
      </c>
      <c r="BL11" s="19">
        <v>19967</v>
      </c>
      <c r="BM11" s="19">
        <v>1016</v>
      </c>
      <c r="BN11" s="19">
        <v>139</v>
      </c>
      <c r="BO11" s="19">
        <v>6826</v>
      </c>
      <c r="BP11" s="19">
        <v>0</v>
      </c>
      <c r="BQ11" s="19">
        <v>0</v>
      </c>
      <c r="BR11" s="19">
        <v>1</v>
      </c>
      <c r="BS11" s="19">
        <v>0</v>
      </c>
      <c r="BT11" s="19">
        <v>1</v>
      </c>
      <c r="BU11" s="19">
        <v>0</v>
      </c>
      <c r="BV11" s="19">
        <v>0</v>
      </c>
      <c r="BW11" s="19">
        <v>1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1</v>
      </c>
      <c r="CJ11" s="19">
        <v>0</v>
      </c>
      <c r="CK11" s="19">
        <v>1</v>
      </c>
      <c r="CL11" s="19">
        <v>1</v>
      </c>
      <c r="CM11" s="19">
        <v>1</v>
      </c>
      <c r="CN11" s="19">
        <v>1</v>
      </c>
      <c r="CO11" s="19">
        <v>0</v>
      </c>
      <c r="CP11" s="19">
        <v>1</v>
      </c>
      <c r="CQ11" s="19">
        <v>1</v>
      </c>
      <c r="CR11" s="19">
        <v>1</v>
      </c>
      <c r="CS11" s="19">
        <v>1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21">
        <v>10924</v>
      </c>
      <c r="DK11" s="19">
        <v>139879916</v>
      </c>
      <c r="DL11" s="19">
        <v>74780367</v>
      </c>
      <c r="DM11" s="19">
        <v>0</v>
      </c>
      <c r="DN11" s="19">
        <v>6526908</v>
      </c>
      <c r="DO11" s="19">
        <v>2948716</v>
      </c>
      <c r="DP11" s="19">
        <v>41891644</v>
      </c>
      <c r="DQ11" s="19">
        <v>3783287</v>
      </c>
      <c r="DR11" s="19">
        <v>8924109</v>
      </c>
      <c r="DS11" s="19">
        <v>1024885</v>
      </c>
      <c r="DT11" s="22">
        <v>0.19</v>
      </c>
    </row>
    <row r="12" spans="1:124" x14ac:dyDescent="0.35">
      <c r="A12" s="19" t="s">
        <v>124</v>
      </c>
      <c r="B12" s="19" t="s">
        <v>134</v>
      </c>
      <c r="C12" s="19">
        <v>570403.52849890036</v>
      </c>
      <c r="D12" s="19">
        <v>91264.564559824052</v>
      </c>
      <c r="E12" s="20">
        <v>286648</v>
      </c>
      <c r="F12" s="19">
        <v>0</v>
      </c>
      <c r="G12" s="19">
        <v>718</v>
      </c>
      <c r="H12" s="19">
        <v>184</v>
      </c>
      <c r="I12" s="19">
        <v>269537</v>
      </c>
      <c r="J12" s="19">
        <v>0</v>
      </c>
      <c r="K12" s="19">
        <v>268</v>
      </c>
      <c r="L12" s="19">
        <v>0</v>
      </c>
      <c r="M12" s="19">
        <v>2699</v>
      </c>
      <c r="N12" s="19">
        <v>40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40</v>
      </c>
      <c r="U12" s="19">
        <v>11949</v>
      </c>
      <c r="V12" s="19">
        <v>0</v>
      </c>
      <c r="W12" s="19">
        <v>0</v>
      </c>
      <c r="X12" s="19">
        <v>0</v>
      </c>
      <c r="Y12" s="19">
        <v>459</v>
      </c>
      <c r="Z12" s="19">
        <v>745</v>
      </c>
      <c r="AA12" s="19">
        <v>0</v>
      </c>
      <c r="AB12" s="19">
        <v>0</v>
      </c>
      <c r="AC12" s="19">
        <v>9</v>
      </c>
      <c r="AD12" s="19">
        <v>4154.3238461538458</v>
      </c>
      <c r="AE12" s="19">
        <v>2695.37</v>
      </c>
      <c r="AF12" s="19">
        <v>539.79999999999995</v>
      </c>
      <c r="AG12" s="19">
        <v>0</v>
      </c>
      <c r="AH12" s="19">
        <v>919.15384615384619</v>
      </c>
      <c r="AI12" s="19">
        <v>0</v>
      </c>
      <c r="AJ12" s="19">
        <v>0</v>
      </c>
      <c r="AK12" s="19">
        <v>4100</v>
      </c>
      <c r="AL12" s="19">
        <v>2248</v>
      </c>
      <c r="AM12" s="19">
        <v>671</v>
      </c>
      <c r="AN12" s="19">
        <v>132</v>
      </c>
      <c r="AO12" s="19">
        <v>1049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1</v>
      </c>
      <c r="BA12" s="19">
        <v>0</v>
      </c>
      <c r="BB12" s="19">
        <v>0</v>
      </c>
      <c r="BC12" s="19">
        <v>0</v>
      </c>
      <c r="BD12" s="19">
        <v>1</v>
      </c>
      <c r="BE12" s="19">
        <v>0</v>
      </c>
      <c r="BF12" s="19">
        <v>0</v>
      </c>
      <c r="BG12" s="19">
        <v>0</v>
      </c>
      <c r="BH12" s="19">
        <v>111</v>
      </c>
      <c r="BI12" s="19">
        <v>50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1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21">
        <v>10920</v>
      </c>
      <c r="DK12" s="19">
        <v>2429861</v>
      </c>
      <c r="DL12" s="19">
        <v>1160028</v>
      </c>
      <c r="DM12" s="19">
        <v>0</v>
      </c>
      <c r="DN12" s="19">
        <v>338414</v>
      </c>
      <c r="DO12" s="19">
        <v>4000</v>
      </c>
      <c r="DP12" s="19">
        <v>609954</v>
      </c>
      <c r="DQ12" s="19">
        <v>0</v>
      </c>
      <c r="DR12" s="19">
        <v>302272</v>
      </c>
      <c r="DS12" s="19">
        <v>15193</v>
      </c>
      <c r="DT12" s="22">
        <v>0.19</v>
      </c>
    </row>
    <row r="13" spans="1:124" x14ac:dyDescent="0.35">
      <c r="A13" s="19" t="s">
        <v>124</v>
      </c>
      <c r="B13" s="19" t="s">
        <v>135</v>
      </c>
      <c r="C13" s="19">
        <v>1266965.0869547168</v>
      </c>
      <c r="D13" s="19">
        <v>202714.41391275468</v>
      </c>
      <c r="E13" s="20">
        <v>1205630</v>
      </c>
      <c r="F13" s="19">
        <v>1129</v>
      </c>
      <c r="G13" s="19">
        <v>3209</v>
      </c>
      <c r="H13" s="19">
        <v>1166</v>
      </c>
      <c r="I13" s="19">
        <v>1065883</v>
      </c>
      <c r="J13" s="19">
        <v>271</v>
      </c>
      <c r="K13" s="19">
        <v>1624</v>
      </c>
      <c r="L13" s="19">
        <v>110</v>
      </c>
      <c r="M13" s="19">
        <v>7785</v>
      </c>
      <c r="N13" s="19">
        <v>9091</v>
      </c>
      <c r="O13" s="19">
        <v>0</v>
      </c>
      <c r="P13" s="19">
        <v>782</v>
      </c>
      <c r="Q13" s="19">
        <v>54</v>
      </c>
      <c r="R13" s="19">
        <v>44</v>
      </c>
      <c r="S13" s="19">
        <v>633</v>
      </c>
      <c r="T13" s="19">
        <v>21080</v>
      </c>
      <c r="U13" s="19">
        <v>70342</v>
      </c>
      <c r="V13" s="19">
        <v>261</v>
      </c>
      <c r="W13" s="19">
        <v>355</v>
      </c>
      <c r="X13" s="19">
        <v>66</v>
      </c>
      <c r="Y13" s="19">
        <v>5683</v>
      </c>
      <c r="Z13" s="19">
        <v>8841</v>
      </c>
      <c r="AA13" s="19">
        <v>28</v>
      </c>
      <c r="AB13" s="19">
        <v>380</v>
      </c>
      <c r="AC13" s="19">
        <v>6813</v>
      </c>
      <c r="AD13" s="19">
        <v>32502.75307692308</v>
      </c>
      <c r="AE13" s="19">
        <v>10658.83</v>
      </c>
      <c r="AF13" s="19">
        <v>1557</v>
      </c>
      <c r="AG13" s="19">
        <v>14848</v>
      </c>
      <c r="AH13" s="19">
        <v>5410.9230769230771</v>
      </c>
      <c r="AI13" s="19">
        <v>0</v>
      </c>
      <c r="AJ13" s="19">
        <v>28</v>
      </c>
      <c r="AK13" s="19">
        <v>50472</v>
      </c>
      <c r="AL13" s="19">
        <v>8884</v>
      </c>
      <c r="AM13" s="19">
        <v>1568</v>
      </c>
      <c r="AN13" s="19">
        <v>32356</v>
      </c>
      <c r="AO13" s="19">
        <v>7384</v>
      </c>
      <c r="AP13" s="19">
        <v>280</v>
      </c>
      <c r="AQ13" s="19">
        <v>0</v>
      </c>
      <c r="AR13" s="19">
        <v>66477</v>
      </c>
      <c r="AS13" s="19">
        <v>14848</v>
      </c>
      <c r="AT13" s="19">
        <v>14702</v>
      </c>
      <c r="AU13" s="19">
        <v>3732.2999999999984</v>
      </c>
      <c r="AV13" s="19">
        <v>431</v>
      </c>
      <c r="AW13" s="19">
        <v>16317</v>
      </c>
      <c r="AX13" s="19">
        <v>3848</v>
      </c>
      <c r="AY13" s="19">
        <v>0</v>
      </c>
      <c r="AZ13" s="19">
        <v>37</v>
      </c>
      <c r="BA13" s="19">
        <v>36</v>
      </c>
      <c r="BB13" s="19">
        <v>0</v>
      </c>
      <c r="BC13" s="19">
        <v>7</v>
      </c>
      <c r="BD13" s="19">
        <v>80</v>
      </c>
      <c r="BE13" s="19">
        <v>0</v>
      </c>
      <c r="BF13" s="19">
        <v>26</v>
      </c>
      <c r="BG13" s="19">
        <v>4</v>
      </c>
      <c r="BH13" s="19">
        <v>306</v>
      </c>
      <c r="BI13" s="19">
        <v>90</v>
      </c>
      <c r="BJ13" s="19">
        <v>298</v>
      </c>
      <c r="BK13" s="19">
        <v>828</v>
      </c>
      <c r="BL13" s="19">
        <v>21895</v>
      </c>
      <c r="BM13" s="19">
        <v>1369</v>
      </c>
      <c r="BN13" s="19">
        <v>142</v>
      </c>
      <c r="BO13" s="19">
        <v>7655</v>
      </c>
      <c r="BP13" s="19">
        <v>0</v>
      </c>
      <c r="BQ13" s="19">
        <v>0</v>
      </c>
      <c r="BR13" s="19">
        <v>1</v>
      </c>
      <c r="BS13" s="19">
        <v>0</v>
      </c>
      <c r="BT13" s="19">
        <v>1</v>
      </c>
      <c r="BU13" s="19">
        <v>0</v>
      </c>
      <c r="BV13" s="19">
        <v>0</v>
      </c>
      <c r="BW13" s="19">
        <v>1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1</v>
      </c>
      <c r="CQ13" s="19">
        <v>1</v>
      </c>
      <c r="CR13" s="19">
        <v>1</v>
      </c>
      <c r="CS13" s="19">
        <v>1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21">
        <v>10813</v>
      </c>
      <c r="DK13" s="19">
        <v>21379788</v>
      </c>
      <c r="DL13" s="19">
        <v>10455958</v>
      </c>
      <c r="DM13" s="19">
        <v>0</v>
      </c>
      <c r="DN13" s="19">
        <v>850581</v>
      </c>
      <c r="DO13" s="19">
        <v>922076</v>
      </c>
      <c r="DP13" s="19">
        <v>5699307</v>
      </c>
      <c r="DQ13" s="19">
        <v>1524366</v>
      </c>
      <c r="DR13" s="19">
        <v>1854538</v>
      </c>
      <c r="DS13" s="19">
        <v>72962</v>
      </c>
      <c r="DT13" s="22">
        <v>0.24</v>
      </c>
    </row>
    <row r="14" spans="1:124" x14ac:dyDescent="0.35">
      <c r="A14" s="19" t="s">
        <v>124</v>
      </c>
      <c r="B14" s="19" t="s">
        <v>136</v>
      </c>
      <c r="C14" s="19">
        <v>879897.76938757231</v>
      </c>
      <c r="D14" s="19">
        <v>140783.64310201156</v>
      </c>
      <c r="E14" s="20">
        <v>206471</v>
      </c>
      <c r="F14" s="19">
        <v>0</v>
      </c>
      <c r="G14" s="19">
        <v>386</v>
      </c>
      <c r="H14" s="19">
        <v>349</v>
      </c>
      <c r="I14" s="19">
        <v>189809</v>
      </c>
      <c r="J14" s="19">
        <v>10</v>
      </c>
      <c r="K14" s="19">
        <v>808</v>
      </c>
      <c r="L14" s="19">
        <v>93</v>
      </c>
      <c r="M14" s="19">
        <v>1629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800</v>
      </c>
      <c r="U14" s="19">
        <v>11163</v>
      </c>
      <c r="V14" s="19">
        <v>0</v>
      </c>
      <c r="W14" s="19">
        <v>92</v>
      </c>
      <c r="X14" s="19">
        <v>12</v>
      </c>
      <c r="Y14" s="19">
        <v>350</v>
      </c>
      <c r="Z14" s="19">
        <v>958</v>
      </c>
      <c r="AA14" s="19">
        <v>0</v>
      </c>
      <c r="AB14" s="19">
        <v>0</v>
      </c>
      <c r="AC14" s="19">
        <v>12</v>
      </c>
      <c r="AD14" s="19">
        <v>3082.5823076923075</v>
      </c>
      <c r="AE14" s="19">
        <v>1898.09</v>
      </c>
      <c r="AF14" s="19">
        <v>325.8</v>
      </c>
      <c r="AG14" s="19">
        <v>0</v>
      </c>
      <c r="AH14" s="19">
        <v>858.69230769230774</v>
      </c>
      <c r="AI14" s="19">
        <v>0</v>
      </c>
      <c r="AJ14" s="19">
        <v>0</v>
      </c>
      <c r="AK14" s="19">
        <v>3263</v>
      </c>
      <c r="AL14" s="19">
        <v>1584</v>
      </c>
      <c r="AM14" s="19">
        <v>399</v>
      </c>
      <c r="AN14" s="19">
        <v>0</v>
      </c>
      <c r="AO14" s="19">
        <v>1280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1617.8441024234737</v>
      </c>
      <c r="AZ14" s="19">
        <v>61</v>
      </c>
      <c r="BA14" s="19">
        <v>2</v>
      </c>
      <c r="BB14" s="19">
        <v>0</v>
      </c>
      <c r="BC14" s="19">
        <v>0</v>
      </c>
      <c r="BD14" s="19">
        <v>63</v>
      </c>
      <c r="BE14" s="19">
        <v>57</v>
      </c>
      <c r="BF14" s="19">
        <v>0</v>
      </c>
      <c r="BG14" s="19">
        <v>0</v>
      </c>
      <c r="BH14" s="19">
        <v>132</v>
      </c>
      <c r="BI14" s="19">
        <v>123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1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1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1</v>
      </c>
      <c r="CJ14" s="19">
        <v>0</v>
      </c>
      <c r="CK14" s="19">
        <v>1</v>
      </c>
      <c r="CL14" s="19">
        <v>1</v>
      </c>
      <c r="CM14" s="19">
        <v>1</v>
      </c>
      <c r="CN14" s="19">
        <v>1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21">
        <v>10921</v>
      </c>
      <c r="DK14" s="19">
        <v>4675780</v>
      </c>
      <c r="DL14" s="19">
        <v>2319070</v>
      </c>
      <c r="DM14" s="19">
        <v>0</v>
      </c>
      <c r="DN14" s="19">
        <v>205943</v>
      </c>
      <c r="DO14" s="19">
        <v>0</v>
      </c>
      <c r="DP14" s="19">
        <v>1771687</v>
      </c>
      <c r="DQ14" s="19">
        <v>2125</v>
      </c>
      <c r="DR14" s="19">
        <v>368535</v>
      </c>
      <c r="DS14" s="19">
        <v>8420</v>
      </c>
      <c r="DT14" s="22">
        <v>0.25</v>
      </c>
    </row>
    <row r="15" spans="1:124" x14ac:dyDescent="0.35">
      <c r="A15" s="19" t="s">
        <v>124</v>
      </c>
      <c r="B15" s="19" t="s">
        <v>137</v>
      </c>
      <c r="C15" s="19">
        <v>1236211.5125332272</v>
      </c>
      <c r="D15" s="19">
        <v>197793.84200531634</v>
      </c>
      <c r="E15" s="20">
        <v>1291594</v>
      </c>
      <c r="F15" s="19">
        <v>0</v>
      </c>
      <c r="G15" s="19">
        <v>954</v>
      </c>
      <c r="H15" s="19">
        <v>39</v>
      </c>
      <c r="I15" s="19">
        <v>1269636</v>
      </c>
      <c r="J15" s="19">
        <v>1</v>
      </c>
      <c r="K15" s="19">
        <v>1577</v>
      </c>
      <c r="L15" s="19">
        <v>44</v>
      </c>
      <c r="M15" s="19">
        <v>2970</v>
      </c>
      <c r="N15" s="19">
        <v>598</v>
      </c>
      <c r="O15" s="19">
        <v>0</v>
      </c>
      <c r="P15" s="19">
        <v>26</v>
      </c>
      <c r="Q15" s="19">
        <v>0</v>
      </c>
      <c r="R15" s="19">
        <v>2</v>
      </c>
      <c r="S15" s="19">
        <v>1</v>
      </c>
      <c r="T15" s="19">
        <v>0</v>
      </c>
      <c r="U15" s="19">
        <v>10704</v>
      </c>
      <c r="V15" s="19">
        <v>11</v>
      </c>
      <c r="W15" s="19">
        <v>136</v>
      </c>
      <c r="X15" s="19">
        <v>11</v>
      </c>
      <c r="Y15" s="19">
        <v>3258</v>
      </c>
      <c r="Z15" s="19">
        <v>1612</v>
      </c>
      <c r="AA15" s="19">
        <v>0</v>
      </c>
      <c r="AB15" s="19">
        <v>0</v>
      </c>
      <c r="AC15" s="19">
        <v>14</v>
      </c>
      <c r="AD15" s="19">
        <v>14269.744615384616</v>
      </c>
      <c r="AE15" s="19">
        <v>12696.36</v>
      </c>
      <c r="AF15" s="19">
        <v>594</v>
      </c>
      <c r="AG15" s="19">
        <v>156</v>
      </c>
      <c r="AH15" s="19">
        <v>823.38461538461536</v>
      </c>
      <c r="AI15" s="19">
        <v>0</v>
      </c>
      <c r="AJ15" s="19">
        <v>0</v>
      </c>
      <c r="AK15" s="19">
        <v>14815</v>
      </c>
      <c r="AL15" s="19">
        <v>10580</v>
      </c>
      <c r="AM15" s="19">
        <v>655</v>
      </c>
      <c r="AN15" s="19">
        <v>2026</v>
      </c>
      <c r="AO15" s="19">
        <v>1554</v>
      </c>
      <c r="AP15" s="19">
        <v>0</v>
      </c>
      <c r="AQ15" s="19">
        <v>0</v>
      </c>
      <c r="AR15" s="19">
        <v>378</v>
      </c>
      <c r="AS15" s="19">
        <v>156</v>
      </c>
      <c r="AT15" s="19">
        <v>60</v>
      </c>
      <c r="AU15" s="19">
        <v>0</v>
      </c>
      <c r="AV15" s="19">
        <v>0</v>
      </c>
      <c r="AW15" s="19">
        <v>169</v>
      </c>
      <c r="AX15" s="19">
        <v>0</v>
      </c>
      <c r="AY15" s="19">
        <v>0</v>
      </c>
      <c r="AZ15" s="19">
        <v>24</v>
      </c>
      <c r="BA15" s="19">
        <v>4</v>
      </c>
      <c r="BB15" s="19">
        <v>0</v>
      </c>
      <c r="BC15" s="19">
        <v>1</v>
      </c>
      <c r="BD15" s="19">
        <v>29</v>
      </c>
      <c r="BE15" s="19">
        <v>0</v>
      </c>
      <c r="BF15" s="19">
        <v>0</v>
      </c>
      <c r="BG15" s="19">
        <v>0</v>
      </c>
      <c r="BH15" s="19">
        <v>105</v>
      </c>
      <c r="BI15" s="19">
        <v>110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1</v>
      </c>
      <c r="BS15" s="19">
        <v>0</v>
      </c>
      <c r="BT15" s="19">
        <v>0</v>
      </c>
      <c r="BU15" s="19">
        <v>1</v>
      </c>
      <c r="BV15" s="19">
        <v>1</v>
      </c>
      <c r="BW15" s="19">
        <v>0</v>
      </c>
      <c r="BX15" s="19">
        <v>1</v>
      </c>
      <c r="BY15" s="19">
        <v>1</v>
      </c>
      <c r="BZ15" s="19">
        <v>1</v>
      </c>
      <c r="CA15" s="19">
        <v>1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1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21">
        <v>80902</v>
      </c>
      <c r="DK15" s="19">
        <v>21013108</v>
      </c>
      <c r="DL15" s="19">
        <v>16734111</v>
      </c>
      <c r="DM15" s="19">
        <v>0</v>
      </c>
      <c r="DN15" s="19">
        <v>312277</v>
      </c>
      <c r="DO15" s="19">
        <v>84384</v>
      </c>
      <c r="DP15" s="19">
        <v>3461977</v>
      </c>
      <c r="DQ15" s="19">
        <v>11407</v>
      </c>
      <c r="DR15" s="19">
        <v>388129</v>
      </c>
      <c r="DS15" s="19">
        <v>20823</v>
      </c>
      <c r="DT15" s="22">
        <v>0.19</v>
      </c>
    </row>
    <row r="16" spans="1:124" x14ac:dyDescent="0.35">
      <c r="A16" s="19" t="s">
        <v>124</v>
      </c>
      <c r="B16" s="19" t="s">
        <v>138</v>
      </c>
      <c r="C16" s="19">
        <v>1331541.5538227889</v>
      </c>
      <c r="D16" s="19">
        <v>213046.64861164623</v>
      </c>
      <c r="E16" s="20">
        <v>1110319</v>
      </c>
      <c r="F16" s="19">
        <v>0</v>
      </c>
      <c r="G16" s="19">
        <v>1478</v>
      </c>
      <c r="H16" s="19">
        <v>601</v>
      </c>
      <c r="I16" s="19">
        <v>1052776</v>
      </c>
      <c r="J16" s="19">
        <v>0</v>
      </c>
      <c r="K16" s="19">
        <v>5217</v>
      </c>
      <c r="L16" s="19">
        <v>49</v>
      </c>
      <c r="M16" s="19">
        <v>4954</v>
      </c>
      <c r="N16" s="19">
        <v>1849</v>
      </c>
      <c r="O16" s="19">
        <v>0</v>
      </c>
      <c r="P16" s="19">
        <v>0</v>
      </c>
      <c r="Q16" s="19">
        <v>0</v>
      </c>
      <c r="R16" s="19">
        <v>18</v>
      </c>
      <c r="S16" s="19">
        <v>2</v>
      </c>
      <c r="T16" s="19">
        <v>380</v>
      </c>
      <c r="U16" s="19">
        <v>27777</v>
      </c>
      <c r="V16" s="19">
        <v>0</v>
      </c>
      <c r="W16" s="19">
        <v>48</v>
      </c>
      <c r="X16" s="19">
        <v>23</v>
      </c>
      <c r="Y16" s="19">
        <v>2665</v>
      </c>
      <c r="Z16" s="19">
        <v>12466</v>
      </c>
      <c r="AA16" s="19">
        <v>16</v>
      </c>
      <c r="AB16" s="19">
        <v>0</v>
      </c>
      <c r="AC16" s="19">
        <v>0</v>
      </c>
      <c r="AD16" s="19">
        <v>14185.252307692306</v>
      </c>
      <c r="AE16" s="19">
        <v>10527.76</v>
      </c>
      <c r="AF16" s="19">
        <v>990.8</v>
      </c>
      <c r="AG16" s="19">
        <v>514</v>
      </c>
      <c r="AH16" s="19">
        <v>2136.6923076923076</v>
      </c>
      <c r="AI16" s="19">
        <v>0</v>
      </c>
      <c r="AJ16" s="19">
        <v>16</v>
      </c>
      <c r="AK16" s="19">
        <v>20896</v>
      </c>
      <c r="AL16" s="19">
        <v>8774</v>
      </c>
      <c r="AM16" s="19">
        <v>1169</v>
      </c>
      <c r="AN16" s="19">
        <v>6817</v>
      </c>
      <c r="AO16" s="19">
        <v>3976</v>
      </c>
      <c r="AP16" s="19">
        <v>160</v>
      </c>
      <c r="AQ16" s="19">
        <v>0</v>
      </c>
      <c r="AR16" s="19">
        <v>4104</v>
      </c>
      <c r="AS16" s="19">
        <v>514</v>
      </c>
      <c r="AT16" s="19">
        <v>1448</v>
      </c>
      <c r="AU16" s="19">
        <v>0</v>
      </c>
      <c r="AV16" s="19">
        <v>0</v>
      </c>
      <c r="AW16" s="19">
        <v>1852</v>
      </c>
      <c r="AX16" s="19">
        <v>2</v>
      </c>
      <c r="AY16" s="19">
        <v>0</v>
      </c>
      <c r="AZ16" s="19">
        <v>114</v>
      </c>
      <c r="BA16" s="19">
        <v>7</v>
      </c>
      <c r="BB16" s="19">
        <v>0</v>
      </c>
      <c r="BC16" s="19">
        <v>6</v>
      </c>
      <c r="BD16" s="19">
        <v>127</v>
      </c>
      <c r="BE16" s="19">
        <v>0</v>
      </c>
      <c r="BF16" s="19">
        <v>0</v>
      </c>
      <c r="BG16" s="19">
        <v>0</v>
      </c>
      <c r="BH16" s="19">
        <v>274</v>
      </c>
      <c r="BI16" s="19">
        <v>157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1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1</v>
      </c>
      <c r="CA16" s="19">
        <v>1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21">
        <v>10919</v>
      </c>
      <c r="DK16" s="19">
        <v>21192466</v>
      </c>
      <c r="DL16" s="19">
        <v>9428038</v>
      </c>
      <c r="DM16" s="19">
        <v>0</v>
      </c>
      <c r="DN16" s="19">
        <v>598664</v>
      </c>
      <c r="DO16" s="19">
        <v>213200</v>
      </c>
      <c r="DP16" s="19">
        <v>9967401</v>
      </c>
      <c r="DQ16" s="19">
        <v>306</v>
      </c>
      <c r="DR16" s="19">
        <v>951923</v>
      </c>
      <c r="DS16" s="19">
        <v>32934</v>
      </c>
      <c r="DT16" s="22">
        <v>0.22</v>
      </c>
    </row>
    <row r="17" spans="1:124" x14ac:dyDescent="0.35">
      <c r="A17" s="19" t="s">
        <v>124</v>
      </c>
      <c r="B17" s="19" t="s">
        <v>139</v>
      </c>
      <c r="C17" s="19">
        <v>302145.56449268275</v>
      </c>
      <c r="D17" s="19">
        <v>48343.29031882924</v>
      </c>
      <c r="E17" s="20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21">
        <v>10928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22">
        <v>0.17</v>
      </c>
    </row>
    <row r="18" spans="1:124" x14ac:dyDescent="0.35">
      <c r="A18" s="19" t="s">
        <v>124</v>
      </c>
      <c r="B18" s="19" t="s">
        <v>140</v>
      </c>
      <c r="C18" s="19">
        <v>847064.90995119186</v>
      </c>
      <c r="D18" s="19">
        <v>135530.38559219069</v>
      </c>
      <c r="E18" s="20">
        <v>605341</v>
      </c>
      <c r="F18" s="19">
        <v>400</v>
      </c>
      <c r="G18" s="19">
        <v>0</v>
      </c>
      <c r="H18" s="19">
        <v>30</v>
      </c>
      <c r="I18" s="19">
        <v>590436</v>
      </c>
      <c r="J18" s="19">
        <v>350</v>
      </c>
      <c r="K18" s="19">
        <v>193</v>
      </c>
      <c r="L18" s="19">
        <v>10</v>
      </c>
      <c r="M18" s="19">
        <v>2774</v>
      </c>
      <c r="N18" s="19">
        <v>32</v>
      </c>
      <c r="O18" s="19">
        <v>0</v>
      </c>
      <c r="P18" s="19">
        <v>645</v>
      </c>
      <c r="Q18" s="19">
        <v>0</v>
      </c>
      <c r="R18" s="19">
        <v>2000</v>
      </c>
      <c r="S18" s="19">
        <v>235</v>
      </c>
      <c r="T18" s="19">
        <v>0</v>
      </c>
      <c r="U18" s="19">
        <v>5890</v>
      </c>
      <c r="V18" s="19">
        <v>730</v>
      </c>
      <c r="W18" s="19">
        <v>0</v>
      </c>
      <c r="X18" s="19">
        <v>0</v>
      </c>
      <c r="Y18" s="19">
        <v>616</v>
      </c>
      <c r="Z18" s="19">
        <v>1000</v>
      </c>
      <c r="AA18" s="19">
        <v>0</v>
      </c>
      <c r="AB18" s="19">
        <v>0</v>
      </c>
      <c r="AC18" s="19">
        <v>0</v>
      </c>
      <c r="AD18" s="19">
        <v>6912.2369230769227</v>
      </c>
      <c r="AE18" s="19">
        <v>5904.36</v>
      </c>
      <c r="AF18" s="19">
        <v>554.79999999999995</v>
      </c>
      <c r="AG18" s="19">
        <v>0</v>
      </c>
      <c r="AH18" s="19">
        <v>453.07692307692309</v>
      </c>
      <c r="AI18" s="19">
        <v>0</v>
      </c>
      <c r="AJ18" s="19">
        <v>0</v>
      </c>
      <c r="AK18" s="19">
        <v>6695</v>
      </c>
      <c r="AL18" s="19">
        <v>4919</v>
      </c>
      <c r="AM18" s="19">
        <v>669</v>
      </c>
      <c r="AN18" s="19">
        <v>145</v>
      </c>
      <c r="AO18" s="19">
        <v>962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1</v>
      </c>
      <c r="BA18" s="19">
        <v>2</v>
      </c>
      <c r="BB18" s="19">
        <v>0</v>
      </c>
      <c r="BC18" s="19">
        <v>0</v>
      </c>
      <c r="BD18" s="19">
        <v>3</v>
      </c>
      <c r="BE18" s="19">
        <v>0</v>
      </c>
      <c r="BF18" s="19">
        <v>0</v>
      </c>
      <c r="BG18" s="19">
        <v>0</v>
      </c>
      <c r="BH18" s="19">
        <v>106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1</v>
      </c>
      <c r="BS18" s="19">
        <v>0</v>
      </c>
      <c r="BT18" s="19">
        <v>0</v>
      </c>
      <c r="BU18" s="19">
        <v>1</v>
      </c>
      <c r="BV18" s="19">
        <v>1</v>
      </c>
      <c r="BW18" s="19">
        <v>0</v>
      </c>
      <c r="BX18" s="19">
        <v>1</v>
      </c>
      <c r="BY18" s="19">
        <v>1</v>
      </c>
      <c r="BZ18" s="19">
        <v>1</v>
      </c>
      <c r="CA18" s="19">
        <v>1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21">
        <v>80903</v>
      </c>
      <c r="DK18" s="19">
        <v>5536140</v>
      </c>
      <c r="DL18" s="19">
        <v>2317717</v>
      </c>
      <c r="DM18" s="19">
        <v>0</v>
      </c>
      <c r="DN18" s="19">
        <v>324537</v>
      </c>
      <c r="DO18" s="19">
        <v>5568</v>
      </c>
      <c r="DP18" s="19">
        <v>2093911</v>
      </c>
      <c r="DQ18" s="19">
        <v>604265</v>
      </c>
      <c r="DR18" s="19">
        <v>190142</v>
      </c>
      <c r="DS18" s="19">
        <v>0</v>
      </c>
      <c r="DT18" s="22">
        <v>0.16</v>
      </c>
    </row>
    <row r="19" spans="1:124" x14ac:dyDescent="0.35">
      <c r="A19" s="19" t="s">
        <v>124</v>
      </c>
      <c r="B19" s="19" t="s">
        <v>141</v>
      </c>
      <c r="C19" s="19">
        <v>1122529.192665657</v>
      </c>
      <c r="D19" s="19">
        <v>179604.67082650511</v>
      </c>
      <c r="E19" s="20">
        <v>1605954</v>
      </c>
      <c r="F19" s="19">
        <v>0</v>
      </c>
      <c r="G19" s="19">
        <v>375</v>
      </c>
      <c r="H19" s="19">
        <v>227</v>
      </c>
      <c r="I19" s="19">
        <v>1556848</v>
      </c>
      <c r="J19" s="19">
        <v>0</v>
      </c>
      <c r="K19" s="19">
        <v>4001</v>
      </c>
      <c r="L19" s="19">
        <v>211</v>
      </c>
      <c r="M19" s="19">
        <v>4500</v>
      </c>
      <c r="N19" s="19">
        <v>1714</v>
      </c>
      <c r="O19" s="19">
        <v>0</v>
      </c>
      <c r="P19" s="19">
        <v>0</v>
      </c>
      <c r="Q19" s="19">
        <v>0</v>
      </c>
      <c r="R19" s="19">
        <v>12</v>
      </c>
      <c r="S19" s="19">
        <v>0</v>
      </c>
      <c r="T19" s="19">
        <v>1740</v>
      </c>
      <c r="U19" s="19">
        <v>29173</v>
      </c>
      <c r="V19" s="19">
        <v>0</v>
      </c>
      <c r="W19" s="19">
        <v>198</v>
      </c>
      <c r="X19" s="19">
        <v>36</v>
      </c>
      <c r="Y19" s="19">
        <v>2789</v>
      </c>
      <c r="Z19" s="19">
        <v>4124</v>
      </c>
      <c r="AA19" s="19">
        <v>0</v>
      </c>
      <c r="AB19" s="19">
        <v>0</v>
      </c>
      <c r="AC19" s="19">
        <v>6</v>
      </c>
      <c r="AD19" s="19">
        <v>19887.556923076922</v>
      </c>
      <c r="AE19" s="19">
        <v>15568.48</v>
      </c>
      <c r="AF19" s="19">
        <v>900</v>
      </c>
      <c r="AG19" s="19">
        <v>1175</v>
      </c>
      <c r="AH19" s="19">
        <v>2244.0769230769229</v>
      </c>
      <c r="AI19" s="19">
        <v>0</v>
      </c>
      <c r="AJ19" s="19">
        <v>0</v>
      </c>
      <c r="AK19" s="19">
        <v>23314</v>
      </c>
      <c r="AL19" s="19">
        <v>12972</v>
      </c>
      <c r="AM19" s="19">
        <v>1004</v>
      </c>
      <c r="AN19" s="19">
        <v>5748</v>
      </c>
      <c r="AO19" s="19">
        <v>3590</v>
      </c>
      <c r="AP19" s="19">
        <v>0</v>
      </c>
      <c r="AQ19" s="19">
        <v>0</v>
      </c>
      <c r="AR19" s="19">
        <v>5641</v>
      </c>
      <c r="AS19" s="19">
        <v>1175</v>
      </c>
      <c r="AT19" s="19">
        <v>375</v>
      </c>
      <c r="AU19" s="19">
        <v>3</v>
      </c>
      <c r="AV19" s="19">
        <v>0</v>
      </c>
      <c r="AW19" s="19">
        <v>3698</v>
      </c>
      <c r="AX19" s="19">
        <v>3</v>
      </c>
      <c r="AY19" s="19">
        <v>7038.3757241284748</v>
      </c>
      <c r="AZ19" s="19">
        <v>87</v>
      </c>
      <c r="BA19" s="19">
        <v>17</v>
      </c>
      <c r="BB19" s="19">
        <v>1</v>
      </c>
      <c r="BC19" s="19">
        <v>2</v>
      </c>
      <c r="BD19" s="19">
        <v>107</v>
      </c>
      <c r="BE19" s="19">
        <v>58</v>
      </c>
      <c r="BF19" s="19">
        <v>0</v>
      </c>
      <c r="BG19" s="19">
        <v>0</v>
      </c>
      <c r="BH19" s="19">
        <v>191</v>
      </c>
      <c r="BI19" s="19">
        <v>153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1</v>
      </c>
      <c r="BQ19" s="19">
        <v>0</v>
      </c>
      <c r="BR19" s="19">
        <v>1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1</v>
      </c>
      <c r="CA19" s="19">
        <v>1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1</v>
      </c>
      <c r="CJ19" s="19">
        <v>0</v>
      </c>
      <c r="CK19" s="19">
        <v>1</v>
      </c>
      <c r="CL19" s="19">
        <v>1</v>
      </c>
      <c r="CM19" s="19">
        <v>1</v>
      </c>
      <c r="CN19" s="19">
        <v>1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21">
        <v>10923</v>
      </c>
      <c r="DK19" s="19">
        <v>19339392</v>
      </c>
      <c r="DL19" s="19">
        <v>9742863</v>
      </c>
      <c r="DM19" s="19">
        <v>0</v>
      </c>
      <c r="DN19" s="19">
        <v>493433</v>
      </c>
      <c r="DO19" s="19">
        <v>265318</v>
      </c>
      <c r="DP19" s="19">
        <v>7876436</v>
      </c>
      <c r="DQ19" s="19">
        <v>0</v>
      </c>
      <c r="DR19" s="19">
        <v>953288</v>
      </c>
      <c r="DS19" s="19">
        <v>8054</v>
      </c>
      <c r="DT19" s="22">
        <v>0.21</v>
      </c>
    </row>
    <row r="20" spans="1:124" x14ac:dyDescent="0.35">
      <c r="A20" s="19" t="s">
        <v>124</v>
      </c>
      <c r="B20" s="19" t="s">
        <v>142</v>
      </c>
      <c r="C20" s="19">
        <v>345548.48224386963</v>
      </c>
      <c r="D20" s="19">
        <v>55287.757159019144</v>
      </c>
      <c r="E20" s="20">
        <v>604130</v>
      </c>
      <c r="F20" s="19">
        <v>0</v>
      </c>
      <c r="G20" s="19">
        <v>0</v>
      </c>
      <c r="H20" s="19">
        <v>162</v>
      </c>
      <c r="I20" s="19">
        <v>536045</v>
      </c>
      <c r="J20" s="19">
        <v>0</v>
      </c>
      <c r="K20" s="19">
        <v>4</v>
      </c>
      <c r="L20" s="19">
        <v>0</v>
      </c>
      <c r="M20" s="19">
        <v>20802</v>
      </c>
      <c r="N20" s="19">
        <v>1121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560</v>
      </c>
      <c r="U20" s="19">
        <v>45134</v>
      </c>
      <c r="V20" s="19">
        <v>0</v>
      </c>
      <c r="W20" s="19">
        <v>0</v>
      </c>
      <c r="X20" s="19">
        <v>0</v>
      </c>
      <c r="Y20" s="19">
        <v>102</v>
      </c>
      <c r="Z20" s="19">
        <v>200</v>
      </c>
      <c r="AA20" s="19">
        <v>0</v>
      </c>
      <c r="AB20" s="19">
        <v>0</v>
      </c>
      <c r="AC20" s="19">
        <v>0</v>
      </c>
      <c r="AD20" s="19">
        <v>12992.696153846153</v>
      </c>
      <c r="AE20" s="19">
        <v>5360.45</v>
      </c>
      <c r="AF20" s="19">
        <v>4160.3999999999996</v>
      </c>
      <c r="AG20" s="19">
        <v>0</v>
      </c>
      <c r="AH20" s="19">
        <v>3471.8461538461538</v>
      </c>
      <c r="AI20" s="19">
        <v>0</v>
      </c>
      <c r="AJ20" s="19">
        <v>0</v>
      </c>
      <c r="AK20" s="19">
        <v>17985</v>
      </c>
      <c r="AL20" s="19">
        <v>4467</v>
      </c>
      <c r="AM20" s="19">
        <v>5119</v>
      </c>
      <c r="AN20" s="19">
        <v>5387</v>
      </c>
      <c r="AO20" s="19">
        <v>3012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2</v>
      </c>
      <c r="BA20" s="19">
        <v>3</v>
      </c>
      <c r="BB20" s="19">
        <v>0</v>
      </c>
      <c r="BC20" s="19">
        <v>0</v>
      </c>
      <c r="BD20" s="19">
        <v>5</v>
      </c>
      <c r="BE20" s="19">
        <v>0</v>
      </c>
      <c r="BF20" s="19">
        <v>0</v>
      </c>
      <c r="BG20" s="19">
        <v>0</v>
      </c>
      <c r="BH20" s="19">
        <v>20</v>
      </c>
      <c r="BI20" s="19">
        <v>1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1</v>
      </c>
      <c r="BS20" s="19">
        <v>0</v>
      </c>
      <c r="BT20" s="19">
        <v>1</v>
      </c>
      <c r="BU20" s="19">
        <v>0</v>
      </c>
      <c r="BV20" s="19">
        <v>0</v>
      </c>
      <c r="BW20" s="19">
        <v>1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21">
        <v>10929</v>
      </c>
      <c r="DK20" s="19">
        <v>10536406</v>
      </c>
      <c r="DL20" s="19">
        <v>6789437</v>
      </c>
      <c r="DM20" s="19">
        <v>0</v>
      </c>
      <c r="DN20" s="19">
        <v>2512406</v>
      </c>
      <c r="DO20" s="19">
        <v>140100</v>
      </c>
      <c r="DP20" s="19">
        <v>112835</v>
      </c>
      <c r="DQ20" s="19">
        <v>0</v>
      </c>
      <c r="DR20" s="19">
        <v>981628</v>
      </c>
      <c r="DS20" s="19">
        <v>0</v>
      </c>
      <c r="DT20" s="22">
        <v>0.23</v>
      </c>
    </row>
    <row r="21" spans="1:124" x14ac:dyDescent="0.35">
      <c r="A21" s="19" t="s">
        <v>124</v>
      </c>
      <c r="B21" s="19" t="s">
        <v>143</v>
      </c>
      <c r="C21" s="19">
        <v>1779668.4562903917</v>
      </c>
      <c r="D21" s="19">
        <v>284746.95300646266</v>
      </c>
      <c r="E21" s="20">
        <v>3939993</v>
      </c>
      <c r="F21" s="19">
        <v>0</v>
      </c>
      <c r="G21" s="19">
        <v>29702</v>
      </c>
      <c r="H21" s="19">
        <v>1756</v>
      </c>
      <c r="I21" s="19">
        <v>3858376</v>
      </c>
      <c r="J21" s="19">
        <v>0</v>
      </c>
      <c r="K21" s="19">
        <v>631</v>
      </c>
      <c r="L21" s="19">
        <v>21</v>
      </c>
      <c r="M21" s="19">
        <v>10542</v>
      </c>
      <c r="N21" s="19">
        <v>2288</v>
      </c>
      <c r="O21" s="19">
        <v>0</v>
      </c>
      <c r="P21" s="19">
        <v>4</v>
      </c>
      <c r="Q21" s="19">
        <v>0</v>
      </c>
      <c r="R21" s="19">
        <v>60</v>
      </c>
      <c r="S21" s="19">
        <v>0</v>
      </c>
      <c r="T21" s="19">
        <v>380</v>
      </c>
      <c r="U21" s="19">
        <v>32320</v>
      </c>
      <c r="V21" s="19">
        <v>0</v>
      </c>
      <c r="W21" s="19">
        <v>188</v>
      </c>
      <c r="X21" s="19">
        <v>9</v>
      </c>
      <c r="Y21" s="19">
        <v>1660</v>
      </c>
      <c r="Z21" s="19">
        <v>1920</v>
      </c>
      <c r="AA21" s="19">
        <v>56</v>
      </c>
      <c r="AB21" s="19">
        <v>0</v>
      </c>
      <c r="AC21" s="19">
        <v>80</v>
      </c>
      <c r="AD21" s="19">
        <v>43424.313846153847</v>
      </c>
      <c r="AE21" s="19">
        <v>38583.760000000002</v>
      </c>
      <c r="AF21" s="19">
        <v>2108.4</v>
      </c>
      <c r="AG21" s="19">
        <v>190</v>
      </c>
      <c r="AH21" s="19">
        <v>2486.1538461538462</v>
      </c>
      <c r="AI21" s="19">
        <v>0</v>
      </c>
      <c r="AJ21" s="19">
        <v>56</v>
      </c>
      <c r="AK21" s="19">
        <v>47083</v>
      </c>
      <c r="AL21" s="19">
        <v>32154</v>
      </c>
      <c r="AM21" s="19">
        <v>2441</v>
      </c>
      <c r="AN21" s="19">
        <v>8865</v>
      </c>
      <c r="AO21" s="19">
        <v>3063</v>
      </c>
      <c r="AP21" s="19">
        <v>560</v>
      </c>
      <c r="AQ21" s="19">
        <v>0</v>
      </c>
      <c r="AR21" s="19">
        <v>1688</v>
      </c>
      <c r="AS21" s="19">
        <v>190</v>
      </c>
      <c r="AT21" s="19">
        <v>69</v>
      </c>
      <c r="AU21" s="19">
        <v>0</v>
      </c>
      <c r="AV21" s="19">
        <v>0</v>
      </c>
      <c r="AW21" s="19">
        <v>859</v>
      </c>
      <c r="AX21" s="19">
        <v>0</v>
      </c>
      <c r="AY21" s="19">
        <v>0</v>
      </c>
      <c r="AZ21" s="19">
        <v>84</v>
      </c>
      <c r="BA21" s="19">
        <v>44</v>
      </c>
      <c r="BB21" s="19">
        <v>0</v>
      </c>
      <c r="BC21" s="19">
        <v>2</v>
      </c>
      <c r="BD21" s="19">
        <v>130</v>
      </c>
      <c r="BE21" s="19">
        <v>0</v>
      </c>
      <c r="BF21" s="19">
        <v>7</v>
      </c>
      <c r="BG21" s="19">
        <v>0</v>
      </c>
      <c r="BH21" s="19">
        <v>349</v>
      </c>
      <c r="BI21" s="19">
        <v>222</v>
      </c>
      <c r="BJ21" s="19">
        <v>304</v>
      </c>
      <c r="BK21" s="19">
        <v>374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1</v>
      </c>
      <c r="BS21" s="19">
        <v>0</v>
      </c>
      <c r="BT21" s="19">
        <v>1</v>
      </c>
      <c r="BU21" s="19">
        <v>0</v>
      </c>
      <c r="BV21" s="19">
        <v>0</v>
      </c>
      <c r="BW21" s="19">
        <v>1</v>
      </c>
      <c r="BX21" s="19">
        <v>0</v>
      </c>
      <c r="BY21" s="19">
        <v>0</v>
      </c>
      <c r="BZ21" s="19">
        <v>1</v>
      </c>
      <c r="CA21" s="19">
        <v>1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1</v>
      </c>
      <c r="DF21" s="19">
        <v>0</v>
      </c>
      <c r="DG21" s="19">
        <v>0</v>
      </c>
      <c r="DH21" s="19">
        <v>0</v>
      </c>
      <c r="DI21" s="19">
        <v>0</v>
      </c>
      <c r="DJ21" s="21">
        <v>10903</v>
      </c>
      <c r="DK21" s="19">
        <v>71014417</v>
      </c>
      <c r="DL21" s="19">
        <v>66094940</v>
      </c>
      <c r="DM21" s="19">
        <v>0</v>
      </c>
      <c r="DN21" s="19">
        <v>1222831</v>
      </c>
      <c r="DO21" s="19">
        <v>145164</v>
      </c>
      <c r="DP21" s="19">
        <v>2050005</v>
      </c>
      <c r="DQ21" s="19">
        <v>10694</v>
      </c>
      <c r="DR21" s="19">
        <v>853128</v>
      </c>
      <c r="DS21" s="19">
        <v>637655</v>
      </c>
      <c r="DT21" s="22">
        <v>0.2</v>
      </c>
    </row>
    <row r="22" spans="1:124" x14ac:dyDescent="0.35">
      <c r="A22" s="19" t="s">
        <v>124</v>
      </c>
      <c r="B22" s="19" t="s">
        <v>144</v>
      </c>
      <c r="C22" s="19">
        <v>366697.22661213338</v>
      </c>
      <c r="D22" s="19">
        <v>58671.556257941338</v>
      </c>
      <c r="E22" s="20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1</v>
      </c>
      <c r="BU22" s="19">
        <v>0</v>
      </c>
      <c r="BV22" s="19">
        <v>0</v>
      </c>
      <c r="BW22" s="19">
        <v>1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21">
        <v>10930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22">
        <v>0.17</v>
      </c>
    </row>
    <row r="23" spans="1:124" x14ac:dyDescent="0.35">
      <c r="A23" s="19" t="s">
        <v>124</v>
      </c>
      <c r="B23" s="19" t="s">
        <v>145</v>
      </c>
      <c r="C23" s="19">
        <v>431642.52930753591</v>
      </c>
      <c r="D23" s="19">
        <v>69062.804689205746</v>
      </c>
      <c r="E23" s="20">
        <v>18657</v>
      </c>
      <c r="F23" s="19">
        <v>0</v>
      </c>
      <c r="G23" s="19">
        <v>86</v>
      </c>
      <c r="H23" s="19">
        <v>0</v>
      </c>
      <c r="I23" s="19">
        <v>5950</v>
      </c>
      <c r="J23" s="19">
        <v>0</v>
      </c>
      <c r="K23" s="19">
        <v>7</v>
      </c>
      <c r="L23" s="19">
        <v>0</v>
      </c>
      <c r="M23" s="19">
        <v>1976</v>
      </c>
      <c r="N23" s="19">
        <v>210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10411</v>
      </c>
      <c r="V23" s="19">
        <v>0</v>
      </c>
      <c r="W23" s="19">
        <v>0</v>
      </c>
      <c r="X23" s="19">
        <v>0</v>
      </c>
      <c r="Y23" s="19">
        <v>17</v>
      </c>
      <c r="Z23" s="19">
        <v>0</v>
      </c>
      <c r="AA23" s="19">
        <v>0</v>
      </c>
      <c r="AB23" s="19">
        <v>0</v>
      </c>
      <c r="AC23" s="19">
        <v>0</v>
      </c>
      <c r="AD23" s="19">
        <v>1255.5461538461539</v>
      </c>
      <c r="AE23" s="19">
        <v>59.5</v>
      </c>
      <c r="AF23" s="19">
        <v>395.2</v>
      </c>
      <c r="AG23" s="19">
        <v>0</v>
      </c>
      <c r="AH23" s="19">
        <v>800.84615384615381</v>
      </c>
      <c r="AI23" s="19">
        <v>0</v>
      </c>
      <c r="AJ23" s="19">
        <v>0</v>
      </c>
      <c r="AK23" s="19">
        <v>1969</v>
      </c>
      <c r="AL23" s="19">
        <v>50</v>
      </c>
      <c r="AM23" s="19">
        <v>494</v>
      </c>
      <c r="AN23" s="19">
        <v>693</v>
      </c>
      <c r="AO23" s="19">
        <v>732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1</v>
      </c>
      <c r="BA23" s="19">
        <v>1</v>
      </c>
      <c r="BB23" s="19">
        <v>0</v>
      </c>
      <c r="BC23" s="19">
        <v>0</v>
      </c>
      <c r="BD23" s="19">
        <v>2</v>
      </c>
      <c r="BE23" s="19">
        <v>0</v>
      </c>
      <c r="BF23" s="19">
        <v>0</v>
      </c>
      <c r="BG23" s="19">
        <v>0</v>
      </c>
      <c r="BH23" s="19">
        <v>1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1</v>
      </c>
      <c r="BS23" s="19">
        <v>0</v>
      </c>
      <c r="BT23" s="19">
        <v>0</v>
      </c>
      <c r="BU23" s="19">
        <v>1</v>
      </c>
      <c r="BV23" s="19">
        <v>1</v>
      </c>
      <c r="BW23" s="19">
        <v>0</v>
      </c>
      <c r="BX23" s="19">
        <v>1</v>
      </c>
      <c r="BY23" s="19">
        <v>1</v>
      </c>
      <c r="BZ23" s="19">
        <v>1</v>
      </c>
      <c r="CA23" s="19">
        <v>1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21">
        <v>10931</v>
      </c>
      <c r="DK23" s="19">
        <v>532809</v>
      </c>
      <c r="DL23" s="19">
        <v>39390</v>
      </c>
      <c r="DM23" s="19">
        <v>0</v>
      </c>
      <c r="DN23" s="19">
        <v>213739</v>
      </c>
      <c r="DO23" s="19">
        <v>46752</v>
      </c>
      <c r="DP23" s="19">
        <v>12013</v>
      </c>
      <c r="DQ23" s="19">
        <v>0</v>
      </c>
      <c r="DR23" s="19">
        <v>219100</v>
      </c>
      <c r="DS23" s="19">
        <v>1815</v>
      </c>
      <c r="DT23" s="22">
        <v>0.17</v>
      </c>
    </row>
    <row r="24" spans="1:124" x14ac:dyDescent="0.35">
      <c r="A24" s="19" t="s">
        <v>124</v>
      </c>
      <c r="B24" s="19" t="s">
        <v>146</v>
      </c>
      <c r="C24" s="19">
        <v>891083.63254859368</v>
      </c>
      <c r="D24" s="19">
        <v>142573.38120777498</v>
      </c>
      <c r="E24" s="20">
        <v>1480753</v>
      </c>
      <c r="F24" s="19">
        <v>0</v>
      </c>
      <c r="G24" s="19">
        <v>7097</v>
      </c>
      <c r="H24" s="19">
        <v>0</v>
      </c>
      <c r="I24" s="19">
        <v>1451336</v>
      </c>
      <c r="J24" s="19">
        <v>2</v>
      </c>
      <c r="K24" s="19">
        <v>282</v>
      </c>
      <c r="L24" s="19">
        <v>11</v>
      </c>
      <c r="M24" s="19">
        <v>7946</v>
      </c>
      <c r="N24" s="19">
        <v>922</v>
      </c>
      <c r="O24" s="19">
        <v>0</v>
      </c>
      <c r="P24" s="19">
        <v>0</v>
      </c>
      <c r="Q24" s="19">
        <v>0</v>
      </c>
      <c r="R24" s="19">
        <v>11</v>
      </c>
      <c r="S24" s="19">
        <v>0</v>
      </c>
      <c r="T24" s="19">
        <v>0</v>
      </c>
      <c r="U24" s="19">
        <v>11007</v>
      </c>
      <c r="V24" s="19">
        <v>0</v>
      </c>
      <c r="W24" s="19">
        <v>0</v>
      </c>
      <c r="X24" s="19">
        <v>0</v>
      </c>
      <c r="Y24" s="19">
        <v>1454</v>
      </c>
      <c r="Z24" s="19">
        <v>685</v>
      </c>
      <c r="AA24" s="19">
        <v>0</v>
      </c>
      <c r="AB24" s="19">
        <v>0</v>
      </c>
      <c r="AC24" s="19">
        <v>0</v>
      </c>
      <c r="AD24" s="19">
        <v>17162.25230769231</v>
      </c>
      <c r="AE24" s="19">
        <v>14513.36</v>
      </c>
      <c r="AF24" s="19">
        <v>1589.2</v>
      </c>
      <c r="AG24" s="19">
        <v>213</v>
      </c>
      <c r="AH24" s="19">
        <v>846.69230769230774</v>
      </c>
      <c r="AI24" s="19">
        <v>0</v>
      </c>
      <c r="AJ24" s="19">
        <v>0</v>
      </c>
      <c r="AK24" s="19">
        <v>18001</v>
      </c>
      <c r="AL24" s="19">
        <v>12094</v>
      </c>
      <c r="AM24" s="19">
        <v>1270</v>
      </c>
      <c r="AN24" s="19">
        <v>3173</v>
      </c>
      <c r="AO24" s="19">
        <v>1464</v>
      </c>
      <c r="AP24" s="19">
        <v>0</v>
      </c>
      <c r="AQ24" s="19">
        <v>0</v>
      </c>
      <c r="AR24" s="19">
        <v>3688</v>
      </c>
      <c r="AS24" s="19">
        <v>213</v>
      </c>
      <c r="AT24" s="19">
        <v>35</v>
      </c>
      <c r="AU24" s="19">
        <v>0</v>
      </c>
      <c r="AV24" s="19">
        <v>0</v>
      </c>
      <c r="AW24" s="19">
        <v>1273</v>
      </c>
      <c r="AX24" s="19">
        <v>0</v>
      </c>
      <c r="AY24" s="19">
        <v>0</v>
      </c>
      <c r="AZ24" s="19">
        <v>6</v>
      </c>
      <c r="BA24" s="19">
        <v>4</v>
      </c>
      <c r="BB24" s="19">
        <v>0</v>
      </c>
      <c r="BC24" s="19">
        <v>6</v>
      </c>
      <c r="BD24" s="19">
        <v>16</v>
      </c>
      <c r="BE24" s="19">
        <v>0</v>
      </c>
      <c r="BF24" s="19">
        <v>0</v>
      </c>
      <c r="BG24" s="19">
        <v>0</v>
      </c>
      <c r="BH24" s="19">
        <v>225</v>
      </c>
      <c r="BI24" s="19">
        <v>61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1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1</v>
      </c>
      <c r="CA24" s="19">
        <v>1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21">
        <v>10907</v>
      </c>
      <c r="DK24" s="19">
        <v>17815093</v>
      </c>
      <c r="DL24" s="19">
        <v>15571774</v>
      </c>
      <c r="DM24" s="19">
        <v>0</v>
      </c>
      <c r="DN24" s="19">
        <v>740396</v>
      </c>
      <c r="DO24" s="19">
        <v>144760</v>
      </c>
      <c r="DP24" s="19">
        <v>868696</v>
      </c>
      <c r="DQ24" s="19">
        <v>425</v>
      </c>
      <c r="DR24" s="19">
        <v>339719</v>
      </c>
      <c r="DS24" s="19">
        <v>149323</v>
      </c>
      <c r="DT24" s="22">
        <v>0.21</v>
      </c>
    </row>
    <row r="25" spans="1:124" x14ac:dyDescent="0.35">
      <c r="A25" s="19" t="s">
        <v>124</v>
      </c>
      <c r="B25" s="19" t="s">
        <v>147</v>
      </c>
      <c r="C25" s="19">
        <v>1938196.6831985284</v>
      </c>
      <c r="D25" s="19">
        <v>310111.46931176452</v>
      </c>
      <c r="E25" s="20">
        <v>3517561</v>
      </c>
      <c r="F25" s="19">
        <v>2729</v>
      </c>
      <c r="G25" s="19">
        <v>9017</v>
      </c>
      <c r="H25" s="19">
        <v>1418</v>
      </c>
      <c r="I25" s="19">
        <v>3285288</v>
      </c>
      <c r="J25" s="19">
        <v>38</v>
      </c>
      <c r="K25" s="19">
        <v>7616</v>
      </c>
      <c r="L25" s="19">
        <v>317</v>
      </c>
      <c r="M25" s="19">
        <v>27009</v>
      </c>
      <c r="N25" s="19">
        <v>9071</v>
      </c>
      <c r="O25" s="19">
        <v>0</v>
      </c>
      <c r="P25" s="19">
        <v>1079</v>
      </c>
      <c r="Q25" s="19">
        <v>42</v>
      </c>
      <c r="R25" s="19">
        <v>7</v>
      </c>
      <c r="S25" s="19">
        <v>112</v>
      </c>
      <c r="T25" s="19">
        <v>30780</v>
      </c>
      <c r="U25" s="19">
        <v>80173</v>
      </c>
      <c r="V25" s="19">
        <v>41</v>
      </c>
      <c r="W25" s="19">
        <v>760</v>
      </c>
      <c r="X25" s="19">
        <v>200</v>
      </c>
      <c r="Y25" s="19">
        <v>16179</v>
      </c>
      <c r="Z25" s="19">
        <v>35429</v>
      </c>
      <c r="AA25" s="19">
        <v>0</v>
      </c>
      <c r="AB25" s="19">
        <v>100</v>
      </c>
      <c r="AC25" s="19">
        <v>10156</v>
      </c>
      <c r="AD25" s="19">
        <v>53248.833846153844</v>
      </c>
      <c r="AE25" s="19">
        <v>32852.879999999997</v>
      </c>
      <c r="AF25" s="19">
        <v>5401.8</v>
      </c>
      <c r="AG25" s="19">
        <v>8827</v>
      </c>
      <c r="AH25" s="19">
        <v>6167.1538461538457</v>
      </c>
      <c r="AI25" s="19">
        <v>0</v>
      </c>
      <c r="AJ25" s="19">
        <v>0</v>
      </c>
      <c r="AK25" s="19">
        <v>75725</v>
      </c>
      <c r="AL25" s="19">
        <v>27378</v>
      </c>
      <c r="AM25" s="19">
        <v>5609</v>
      </c>
      <c r="AN25" s="19">
        <v>34334</v>
      </c>
      <c r="AO25" s="19">
        <v>8404</v>
      </c>
      <c r="AP25" s="19">
        <v>0</v>
      </c>
      <c r="AQ25" s="19">
        <v>0</v>
      </c>
      <c r="AR25" s="19">
        <v>46875</v>
      </c>
      <c r="AS25" s="19">
        <v>8827</v>
      </c>
      <c r="AT25" s="19">
        <v>2147</v>
      </c>
      <c r="AU25" s="19">
        <v>1798.9</v>
      </c>
      <c r="AV25" s="19">
        <v>202</v>
      </c>
      <c r="AW25" s="19">
        <v>17511</v>
      </c>
      <c r="AX25" s="19">
        <v>1899</v>
      </c>
      <c r="AY25" s="19">
        <v>0</v>
      </c>
      <c r="AZ25" s="19">
        <v>54</v>
      </c>
      <c r="BA25" s="19">
        <v>95</v>
      </c>
      <c r="BB25" s="19">
        <v>1</v>
      </c>
      <c r="BC25" s="19">
        <v>15</v>
      </c>
      <c r="BD25" s="19">
        <v>165</v>
      </c>
      <c r="BE25" s="19">
        <v>0</v>
      </c>
      <c r="BF25" s="19">
        <v>38</v>
      </c>
      <c r="BG25" s="19">
        <v>1</v>
      </c>
      <c r="BH25" s="19">
        <v>482</v>
      </c>
      <c r="BI25" s="19">
        <v>69</v>
      </c>
      <c r="BJ25" s="19">
        <v>218</v>
      </c>
      <c r="BK25" s="19">
        <v>712</v>
      </c>
      <c r="BL25" s="19">
        <v>2763</v>
      </c>
      <c r="BM25" s="19">
        <v>83</v>
      </c>
      <c r="BN25" s="19">
        <v>16</v>
      </c>
      <c r="BO25" s="19">
        <v>1602</v>
      </c>
      <c r="BP25" s="19">
        <v>0</v>
      </c>
      <c r="BQ25" s="19">
        <v>0</v>
      </c>
      <c r="BR25" s="19">
        <v>1</v>
      </c>
      <c r="BS25" s="19">
        <v>0</v>
      </c>
      <c r="BT25" s="19">
        <v>1</v>
      </c>
      <c r="BU25" s="19">
        <v>0</v>
      </c>
      <c r="BV25" s="19">
        <v>0</v>
      </c>
      <c r="BW25" s="19">
        <v>1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1</v>
      </c>
      <c r="CQ25" s="19">
        <v>1</v>
      </c>
      <c r="CR25" s="19">
        <v>1</v>
      </c>
      <c r="CS25" s="19">
        <v>1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1</v>
      </c>
      <c r="DF25" s="19">
        <v>0</v>
      </c>
      <c r="DG25" s="19">
        <v>0</v>
      </c>
      <c r="DH25" s="19">
        <v>0</v>
      </c>
      <c r="DI25" s="19">
        <v>0</v>
      </c>
      <c r="DJ25" s="21">
        <v>10809</v>
      </c>
      <c r="DK25" s="19">
        <v>72438558</v>
      </c>
      <c r="DL25" s="19">
        <v>41149557</v>
      </c>
      <c r="DM25" s="19">
        <v>0</v>
      </c>
      <c r="DN25" s="19">
        <v>2888693</v>
      </c>
      <c r="DO25" s="19">
        <v>880267</v>
      </c>
      <c r="DP25" s="19">
        <v>22654238</v>
      </c>
      <c r="DQ25" s="19">
        <v>2423962</v>
      </c>
      <c r="DR25" s="19">
        <v>2244267</v>
      </c>
      <c r="DS25" s="19">
        <v>197574</v>
      </c>
      <c r="DT25" s="22">
        <v>0.21</v>
      </c>
    </row>
    <row r="26" spans="1:124" x14ac:dyDescent="0.35">
      <c r="A26" s="19" t="s">
        <v>124</v>
      </c>
      <c r="B26" s="19" t="s">
        <v>148</v>
      </c>
      <c r="C26" s="19">
        <v>2960282.8209565748</v>
      </c>
      <c r="D26" s="19">
        <v>473645.25135305198</v>
      </c>
      <c r="E26" s="20">
        <v>8651111</v>
      </c>
      <c r="F26" s="19">
        <v>1513</v>
      </c>
      <c r="G26" s="19">
        <v>24936</v>
      </c>
      <c r="H26" s="19">
        <v>1685</v>
      </c>
      <c r="I26" s="19">
        <v>8347057</v>
      </c>
      <c r="J26" s="19">
        <v>371</v>
      </c>
      <c r="K26" s="19">
        <v>8915</v>
      </c>
      <c r="L26" s="19">
        <v>680</v>
      </c>
      <c r="M26" s="19">
        <v>34148</v>
      </c>
      <c r="N26" s="19">
        <v>21650</v>
      </c>
      <c r="O26" s="19">
        <v>5</v>
      </c>
      <c r="P26" s="19">
        <v>1257</v>
      </c>
      <c r="Q26" s="19">
        <v>0</v>
      </c>
      <c r="R26" s="19">
        <v>80</v>
      </c>
      <c r="S26" s="19">
        <v>703</v>
      </c>
      <c r="T26" s="19">
        <v>37660</v>
      </c>
      <c r="U26" s="19">
        <v>113099</v>
      </c>
      <c r="V26" s="19">
        <v>300</v>
      </c>
      <c r="W26" s="19">
        <v>721</v>
      </c>
      <c r="X26" s="19">
        <v>14</v>
      </c>
      <c r="Y26" s="19">
        <v>17679</v>
      </c>
      <c r="Z26" s="19">
        <v>26594</v>
      </c>
      <c r="AA26" s="19">
        <v>300</v>
      </c>
      <c r="AB26" s="19">
        <v>0</v>
      </c>
      <c r="AC26" s="19">
        <v>11744</v>
      </c>
      <c r="AD26" s="19">
        <v>118981.09307692309</v>
      </c>
      <c r="AE26" s="19">
        <v>83470.570000000007</v>
      </c>
      <c r="AF26" s="19">
        <v>6829.6</v>
      </c>
      <c r="AG26" s="19">
        <v>19676</v>
      </c>
      <c r="AH26" s="19">
        <v>8699.9230769230762</v>
      </c>
      <c r="AI26" s="19">
        <v>5</v>
      </c>
      <c r="AJ26" s="19">
        <v>300</v>
      </c>
      <c r="AK26" s="19">
        <v>174943</v>
      </c>
      <c r="AL26" s="19">
        <v>69559</v>
      </c>
      <c r="AM26" s="19">
        <v>6244</v>
      </c>
      <c r="AN26" s="19">
        <v>80484</v>
      </c>
      <c r="AO26" s="19">
        <v>15637</v>
      </c>
      <c r="AP26" s="19">
        <v>3000</v>
      </c>
      <c r="AQ26" s="19">
        <v>19</v>
      </c>
      <c r="AR26" s="19">
        <v>94115</v>
      </c>
      <c r="AS26" s="19">
        <v>19676</v>
      </c>
      <c r="AT26" s="19">
        <v>30750</v>
      </c>
      <c r="AU26" s="19">
        <v>2489.6000000000013</v>
      </c>
      <c r="AV26" s="19">
        <v>978</v>
      </c>
      <c r="AW26" s="19">
        <v>35969</v>
      </c>
      <c r="AX26" s="19">
        <v>2881</v>
      </c>
      <c r="AY26" s="19">
        <v>0</v>
      </c>
      <c r="AZ26" s="19">
        <v>104</v>
      </c>
      <c r="BA26" s="19">
        <v>92</v>
      </c>
      <c r="BB26" s="19">
        <v>0</v>
      </c>
      <c r="BC26" s="19">
        <v>13</v>
      </c>
      <c r="BD26" s="19">
        <v>209</v>
      </c>
      <c r="BE26" s="19">
        <v>0</v>
      </c>
      <c r="BF26" s="19">
        <v>46</v>
      </c>
      <c r="BG26" s="19">
        <v>1</v>
      </c>
      <c r="BH26" s="19">
        <v>617</v>
      </c>
      <c r="BI26" s="19">
        <v>498</v>
      </c>
      <c r="BJ26" s="19">
        <v>10</v>
      </c>
      <c r="BK26" s="19">
        <v>32</v>
      </c>
      <c r="BL26" s="19">
        <v>29202</v>
      </c>
      <c r="BM26" s="19">
        <v>1341</v>
      </c>
      <c r="BN26" s="19">
        <v>133</v>
      </c>
      <c r="BO26" s="19">
        <v>12003</v>
      </c>
      <c r="BP26" s="19">
        <v>0</v>
      </c>
      <c r="BQ26" s="19">
        <v>0</v>
      </c>
      <c r="BR26" s="19">
        <v>1</v>
      </c>
      <c r="BS26" s="19">
        <v>0</v>
      </c>
      <c r="BT26" s="19">
        <v>1</v>
      </c>
      <c r="BU26" s="19">
        <v>0</v>
      </c>
      <c r="BV26" s="19">
        <v>0</v>
      </c>
      <c r="BW26" s="19">
        <v>1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1</v>
      </c>
      <c r="CQ26" s="19">
        <v>1</v>
      </c>
      <c r="CR26" s="19">
        <v>1</v>
      </c>
      <c r="CS26" s="19">
        <v>1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  <c r="CZ26" s="19">
        <v>0</v>
      </c>
      <c r="DA26" s="19">
        <v>0</v>
      </c>
      <c r="DB26" s="19">
        <v>0</v>
      </c>
      <c r="DC26" s="19">
        <v>0</v>
      </c>
      <c r="DD26" s="19">
        <v>1</v>
      </c>
      <c r="DE26" s="19">
        <v>1</v>
      </c>
      <c r="DF26" s="19">
        <v>0</v>
      </c>
      <c r="DG26" s="19">
        <v>0</v>
      </c>
      <c r="DH26" s="19">
        <v>0</v>
      </c>
      <c r="DI26" s="19">
        <v>0</v>
      </c>
      <c r="DJ26" s="21">
        <v>10914</v>
      </c>
      <c r="DK26" s="19">
        <v>111959606</v>
      </c>
      <c r="DL26" s="19">
        <v>77675416</v>
      </c>
      <c r="DM26" s="19">
        <v>1000</v>
      </c>
      <c r="DN26" s="19">
        <v>2743655</v>
      </c>
      <c r="DO26" s="19">
        <v>2161393</v>
      </c>
      <c r="DP26" s="19">
        <v>23095678</v>
      </c>
      <c r="DQ26" s="19">
        <v>2432275</v>
      </c>
      <c r="DR26" s="19">
        <v>3316505</v>
      </c>
      <c r="DS26" s="19">
        <v>533684</v>
      </c>
      <c r="DT26" s="22">
        <v>0.21</v>
      </c>
    </row>
    <row r="27" spans="1:124" x14ac:dyDescent="0.35">
      <c r="A27" s="19" t="s">
        <v>124</v>
      </c>
      <c r="B27" s="19" t="s">
        <v>149</v>
      </c>
      <c r="C27" s="19">
        <v>597398.6442705479</v>
      </c>
      <c r="D27" s="19">
        <v>95583.783083287664</v>
      </c>
      <c r="E27" s="20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8</v>
      </c>
      <c r="BB27" s="19">
        <v>0</v>
      </c>
      <c r="BC27" s="19">
        <v>0</v>
      </c>
      <c r="BD27" s="19">
        <v>8</v>
      </c>
      <c r="BE27" s="19">
        <v>0</v>
      </c>
      <c r="BF27" s="19">
        <v>7</v>
      </c>
      <c r="BG27" s="19">
        <v>0</v>
      </c>
      <c r="BH27" s="19">
        <v>0</v>
      </c>
      <c r="BI27" s="19">
        <v>0</v>
      </c>
      <c r="BJ27" s="19">
        <v>254</v>
      </c>
      <c r="BK27" s="19">
        <v>372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1</v>
      </c>
      <c r="BV27" s="19">
        <v>1</v>
      </c>
      <c r="BW27" s="19">
        <v>1</v>
      </c>
      <c r="BX27" s="19">
        <v>1</v>
      </c>
      <c r="BY27" s="19">
        <v>1</v>
      </c>
      <c r="BZ27" s="19">
        <v>1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0</v>
      </c>
      <c r="DA27" s="19">
        <v>0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21">
        <v>10932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</v>
      </c>
      <c r="DR27" s="19">
        <v>0</v>
      </c>
      <c r="DS27" s="19">
        <v>0</v>
      </c>
      <c r="DT27" s="22">
        <v>0.16</v>
      </c>
    </row>
    <row r="28" spans="1:124" x14ac:dyDescent="0.35">
      <c r="A28" s="19" t="s">
        <v>124</v>
      </c>
      <c r="B28" s="19" t="s">
        <v>150</v>
      </c>
      <c r="C28" s="19">
        <v>747735.91179689148</v>
      </c>
      <c r="D28" s="19">
        <v>119637.74588750264</v>
      </c>
      <c r="E28" s="20">
        <v>107419</v>
      </c>
      <c r="F28" s="19">
        <v>0</v>
      </c>
      <c r="G28" s="19">
        <v>0</v>
      </c>
      <c r="H28" s="19">
        <v>2</v>
      </c>
      <c r="I28" s="19">
        <v>22813</v>
      </c>
      <c r="J28" s="19">
        <v>0</v>
      </c>
      <c r="K28" s="19">
        <v>27</v>
      </c>
      <c r="L28" s="19">
        <v>0</v>
      </c>
      <c r="M28" s="19">
        <v>9703</v>
      </c>
      <c r="N28" s="19">
        <v>9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74682</v>
      </c>
      <c r="V28" s="19">
        <v>0</v>
      </c>
      <c r="W28" s="19">
        <v>0</v>
      </c>
      <c r="X28" s="19">
        <v>0</v>
      </c>
      <c r="Y28" s="19">
        <v>163</v>
      </c>
      <c r="Z28" s="19">
        <v>20</v>
      </c>
      <c r="AA28" s="19">
        <v>0</v>
      </c>
      <c r="AB28" s="19">
        <v>0</v>
      </c>
      <c r="AC28" s="19">
        <v>0</v>
      </c>
      <c r="AD28" s="19">
        <v>7913.4992307692301</v>
      </c>
      <c r="AE28" s="19">
        <v>228.13</v>
      </c>
      <c r="AF28" s="19">
        <v>1940.6</v>
      </c>
      <c r="AG28" s="19">
        <v>0</v>
      </c>
      <c r="AH28" s="19">
        <v>5744.7692307692305</v>
      </c>
      <c r="AI28" s="19">
        <v>0</v>
      </c>
      <c r="AJ28" s="19">
        <v>0</v>
      </c>
      <c r="AK28" s="19">
        <v>6931</v>
      </c>
      <c r="AL28" s="19">
        <v>190</v>
      </c>
      <c r="AM28" s="19">
        <v>1677</v>
      </c>
      <c r="AN28" s="19">
        <v>30</v>
      </c>
      <c r="AO28" s="19">
        <v>5034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29</v>
      </c>
      <c r="BI28" s="19">
        <v>50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1</v>
      </c>
      <c r="BS28" s="19">
        <v>0</v>
      </c>
      <c r="BT28" s="19">
        <v>0</v>
      </c>
      <c r="BU28" s="19">
        <v>1</v>
      </c>
      <c r="BV28" s="19">
        <v>1</v>
      </c>
      <c r="BW28" s="19">
        <v>0</v>
      </c>
      <c r="BX28" s="19">
        <v>1</v>
      </c>
      <c r="BY28" s="19">
        <v>1</v>
      </c>
      <c r="BZ28" s="19">
        <v>1</v>
      </c>
      <c r="CA28" s="19">
        <v>1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21">
        <v>80905</v>
      </c>
      <c r="DK28" s="19">
        <v>2826638</v>
      </c>
      <c r="DL28" s="19">
        <v>313770</v>
      </c>
      <c r="DM28" s="19">
        <v>0</v>
      </c>
      <c r="DN28" s="19">
        <v>777427</v>
      </c>
      <c r="DO28" s="19">
        <v>2617</v>
      </c>
      <c r="DP28" s="19">
        <v>95135</v>
      </c>
      <c r="DQ28" s="19">
        <v>0</v>
      </c>
      <c r="DR28" s="19">
        <v>1637689</v>
      </c>
      <c r="DS28" s="19">
        <v>0</v>
      </c>
      <c r="DT28" s="22">
        <v>0.17</v>
      </c>
    </row>
    <row r="29" spans="1:124" x14ac:dyDescent="0.35">
      <c r="A29" s="19" t="s">
        <v>124</v>
      </c>
      <c r="B29" s="19" t="s">
        <v>151</v>
      </c>
      <c r="C29" s="19">
        <v>1877293.4760611195</v>
      </c>
      <c r="D29" s="19">
        <v>300366.95616977912</v>
      </c>
      <c r="E29" s="20">
        <v>1654106</v>
      </c>
      <c r="F29" s="19">
        <v>1929</v>
      </c>
      <c r="G29" s="19">
        <v>203</v>
      </c>
      <c r="H29" s="19">
        <v>693</v>
      </c>
      <c r="I29" s="19">
        <v>1413680</v>
      </c>
      <c r="J29" s="19">
        <v>136</v>
      </c>
      <c r="K29" s="19">
        <v>2235</v>
      </c>
      <c r="L29" s="19">
        <v>250</v>
      </c>
      <c r="M29" s="19">
        <v>13712</v>
      </c>
      <c r="N29" s="19">
        <v>16918</v>
      </c>
      <c r="O29" s="19">
        <v>35</v>
      </c>
      <c r="P29" s="19">
        <v>1988</v>
      </c>
      <c r="Q29" s="19">
        <v>0</v>
      </c>
      <c r="R29" s="19">
        <v>29</v>
      </c>
      <c r="S29" s="19">
        <v>355</v>
      </c>
      <c r="T29" s="19">
        <v>43120</v>
      </c>
      <c r="U29" s="19">
        <v>117915</v>
      </c>
      <c r="V29" s="19">
        <v>576</v>
      </c>
      <c r="W29" s="19">
        <v>46</v>
      </c>
      <c r="X29" s="19">
        <v>42</v>
      </c>
      <c r="Y29" s="19">
        <v>8198</v>
      </c>
      <c r="Z29" s="19">
        <v>18849</v>
      </c>
      <c r="AA29" s="19">
        <v>98</v>
      </c>
      <c r="AB29" s="19">
        <v>40</v>
      </c>
      <c r="AC29" s="19">
        <v>13059</v>
      </c>
      <c r="AD29" s="19">
        <v>49763.584615384614</v>
      </c>
      <c r="AE29" s="19">
        <v>14136.8</v>
      </c>
      <c r="AF29" s="19">
        <v>2742.4</v>
      </c>
      <c r="AG29" s="19">
        <v>23681</v>
      </c>
      <c r="AH29" s="19">
        <v>9070.3846153846152</v>
      </c>
      <c r="AI29" s="19">
        <v>35</v>
      </c>
      <c r="AJ29" s="19">
        <v>98</v>
      </c>
      <c r="AK29" s="19">
        <v>90578</v>
      </c>
      <c r="AL29" s="19">
        <v>11781</v>
      </c>
      <c r="AM29" s="19">
        <v>2838</v>
      </c>
      <c r="AN29" s="19">
        <v>61910</v>
      </c>
      <c r="AO29" s="19">
        <v>12936</v>
      </c>
      <c r="AP29" s="19">
        <v>980</v>
      </c>
      <c r="AQ29" s="19">
        <v>133</v>
      </c>
      <c r="AR29" s="19">
        <v>98610</v>
      </c>
      <c r="AS29" s="19">
        <v>23681</v>
      </c>
      <c r="AT29" s="19">
        <v>34854</v>
      </c>
      <c r="AU29" s="19">
        <v>5769.5999999999995</v>
      </c>
      <c r="AV29" s="19">
        <v>4533</v>
      </c>
      <c r="AW29" s="19">
        <v>46656</v>
      </c>
      <c r="AX29" s="19">
        <v>6295</v>
      </c>
      <c r="AY29" s="19">
        <v>0</v>
      </c>
      <c r="AZ29" s="19">
        <v>82</v>
      </c>
      <c r="BA29" s="19">
        <v>77</v>
      </c>
      <c r="BB29" s="19">
        <v>0</v>
      </c>
      <c r="BC29" s="19">
        <v>3</v>
      </c>
      <c r="BD29" s="19">
        <v>162</v>
      </c>
      <c r="BE29" s="19">
        <v>0</v>
      </c>
      <c r="BF29" s="19">
        <v>20</v>
      </c>
      <c r="BG29" s="19">
        <v>2</v>
      </c>
      <c r="BH29" s="19">
        <v>381</v>
      </c>
      <c r="BI29" s="19">
        <v>49</v>
      </c>
      <c r="BJ29" s="19">
        <v>0</v>
      </c>
      <c r="BK29" s="19">
        <v>0</v>
      </c>
      <c r="BL29" s="19">
        <v>19282</v>
      </c>
      <c r="BM29" s="19">
        <v>599</v>
      </c>
      <c r="BN29" s="19">
        <v>208</v>
      </c>
      <c r="BO29" s="19">
        <v>4409</v>
      </c>
      <c r="BP29" s="19">
        <v>0</v>
      </c>
      <c r="BQ29" s="19">
        <v>0</v>
      </c>
      <c r="BR29" s="19">
        <v>1</v>
      </c>
      <c r="BS29" s="19">
        <v>0</v>
      </c>
      <c r="BT29" s="19">
        <v>1</v>
      </c>
      <c r="BU29" s="19">
        <v>0</v>
      </c>
      <c r="BV29" s="19">
        <v>0</v>
      </c>
      <c r="BW29" s="19">
        <v>1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1</v>
      </c>
      <c r="CQ29" s="19">
        <v>1</v>
      </c>
      <c r="CR29" s="19">
        <v>1</v>
      </c>
      <c r="CS29" s="19">
        <v>1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1</v>
      </c>
      <c r="DE29" s="19">
        <v>0</v>
      </c>
      <c r="DF29" s="19">
        <v>0</v>
      </c>
      <c r="DG29" s="19">
        <v>0</v>
      </c>
      <c r="DH29" s="19">
        <v>0</v>
      </c>
      <c r="DI29" s="19">
        <v>1</v>
      </c>
      <c r="DJ29" s="21">
        <v>10918</v>
      </c>
      <c r="DK29" s="19">
        <v>26245801</v>
      </c>
      <c r="DL29" s="19">
        <v>7538678</v>
      </c>
      <c r="DM29" s="19">
        <v>7000</v>
      </c>
      <c r="DN29" s="19">
        <v>1296266</v>
      </c>
      <c r="DO29" s="19">
        <v>1853965</v>
      </c>
      <c r="DP29" s="19">
        <v>9473415</v>
      </c>
      <c r="DQ29" s="19">
        <v>2989914</v>
      </c>
      <c r="DR29" s="19">
        <v>3082170</v>
      </c>
      <c r="DS29" s="19">
        <v>4393</v>
      </c>
      <c r="DT29" s="22">
        <v>0.23</v>
      </c>
    </row>
    <row r="30" spans="1:124" x14ac:dyDescent="0.35">
      <c r="A30" s="19" t="s">
        <v>124</v>
      </c>
      <c r="B30" s="19" t="s">
        <v>152</v>
      </c>
      <c r="C30" s="19">
        <v>417971.87741502636</v>
      </c>
      <c r="D30" s="19">
        <v>66875.500386404223</v>
      </c>
      <c r="E30" s="20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1</v>
      </c>
      <c r="BV30" s="19">
        <v>1</v>
      </c>
      <c r="BW30" s="19">
        <v>0</v>
      </c>
      <c r="BX30" s="19">
        <v>1</v>
      </c>
      <c r="BY30" s="19">
        <v>1</v>
      </c>
      <c r="BZ30" s="19">
        <v>1</v>
      </c>
      <c r="CA30" s="19">
        <v>1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21">
        <v>10933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22">
        <v>0.16</v>
      </c>
    </row>
    <row r="31" spans="1:124" x14ac:dyDescent="0.35">
      <c r="A31" s="19" t="s">
        <v>124</v>
      </c>
      <c r="B31" s="19" t="s">
        <v>153</v>
      </c>
      <c r="C31" s="19">
        <v>5132169.3547887579</v>
      </c>
      <c r="D31" s="19">
        <v>821147.09676620131</v>
      </c>
      <c r="E31" s="20">
        <v>115344173</v>
      </c>
      <c r="F31" s="19">
        <v>2820</v>
      </c>
      <c r="G31" s="19">
        <v>63703</v>
      </c>
      <c r="H31" s="19">
        <v>3395</v>
      </c>
      <c r="I31" s="19">
        <v>114040274</v>
      </c>
      <c r="J31" s="19">
        <v>162</v>
      </c>
      <c r="K31" s="19">
        <v>29085</v>
      </c>
      <c r="L31" s="19">
        <v>3018</v>
      </c>
      <c r="M31" s="19">
        <v>394980</v>
      </c>
      <c r="N31" s="19">
        <v>138916</v>
      </c>
      <c r="O31" s="19">
        <v>40</v>
      </c>
      <c r="P31" s="19">
        <v>1756</v>
      </c>
      <c r="Q31" s="19">
        <v>0</v>
      </c>
      <c r="R31" s="19">
        <v>186</v>
      </c>
      <c r="S31" s="19">
        <v>216</v>
      </c>
      <c r="T31" s="19">
        <v>37642</v>
      </c>
      <c r="U31" s="19">
        <v>479851</v>
      </c>
      <c r="V31" s="19">
        <v>789</v>
      </c>
      <c r="W31" s="19">
        <v>4546</v>
      </c>
      <c r="X31" s="19">
        <v>672</v>
      </c>
      <c r="Y31" s="19">
        <v>47223</v>
      </c>
      <c r="Z31" s="19">
        <v>85372</v>
      </c>
      <c r="AA31" s="19">
        <v>44</v>
      </c>
      <c r="AB31" s="19">
        <v>520</v>
      </c>
      <c r="AC31" s="19">
        <v>8963</v>
      </c>
      <c r="AD31" s="19">
        <v>1281803.3553846155</v>
      </c>
      <c r="AE31" s="19">
        <v>1140402.74</v>
      </c>
      <c r="AF31" s="19">
        <v>78996</v>
      </c>
      <c r="AG31" s="19">
        <v>25409</v>
      </c>
      <c r="AH31" s="19">
        <v>36911.615384615383</v>
      </c>
      <c r="AI31" s="19">
        <v>40</v>
      </c>
      <c r="AJ31" s="19">
        <v>44</v>
      </c>
      <c r="AK31" s="19">
        <v>736782</v>
      </c>
      <c r="AL31" s="19">
        <v>455766</v>
      </c>
      <c r="AM31" s="19">
        <v>65695</v>
      </c>
      <c r="AN31" s="19">
        <v>163796</v>
      </c>
      <c r="AO31" s="19">
        <v>50933</v>
      </c>
      <c r="AP31" s="19">
        <v>440</v>
      </c>
      <c r="AQ31" s="19">
        <v>152</v>
      </c>
      <c r="AR31" s="19">
        <v>123832</v>
      </c>
      <c r="AS31" s="19">
        <v>25409</v>
      </c>
      <c r="AT31" s="19">
        <v>34365</v>
      </c>
      <c r="AU31" s="19">
        <v>8139.3999999999933</v>
      </c>
      <c r="AV31" s="19">
        <v>2071</v>
      </c>
      <c r="AW31" s="19">
        <v>62257</v>
      </c>
      <c r="AX31" s="19">
        <v>10229</v>
      </c>
      <c r="AY31" s="19">
        <v>76257.090151852739</v>
      </c>
      <c r="AZ31" s="19">
        <v>507</v>
      </c>
      <c r="BA31" s="19">
        <v>146</v>
      </c>
      <c r="BB31" s="19">
        <v>194</v>
      </c>
      <c r="BC31" s="19">
        <v>12</v>
      </c>
      <c r="BD31" s="19">
        <v>859</v>
      </c>
      <c r="BE31" s="19">
        <v>294</v>
      </c>
      <c r="BF31" s="19">
        <v>128</v>
      </c>
      <c r="BG31" s="19">
        <v>2</v>
      </c>
      <c r="BH31" s="19">
        <v>1387</v>
      </c>
      <c r="BI31" s="19">
        <v>2051</v>
      </c>
      <c r="BJ31" s="19">
        <v>0</v>
      </c>
      <c r="BK31" s="19">
        <v>0</v>
      </c>
      <c r="BL31" s="19">
        <v>8080</v>
      </c>
      <c r="BM31" s="19">
        <v>301</v>
      </c>
      <c r="BN31" s="19">
        <v>66</v>
      </c>
      <c r="BO31" s="19">
        <v>2011</v>
      </c>
      <c r="BP31" s="19">
        <v>0</v>
      </c>
      <c r="BQ31" s="19">
        <v>0</v>
      </c>
      <c r="BR31" s="19">
        <v>1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1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1</v>
      </c>
      <c r="CJ31" s="19">
        <v>0</v>
      </c>
      <c r="CK31" s="19">
        <v>1</v>
      </c>
      <c r="CL31" s="19">
        <v>1</v>
      </c>
      <c r="CM31" s="19">
        <v>1</v>
      </c>
      <c r="CN31" s="19">
        <v>1</v>
      </c>
      <c r="CO31" s="19">
        <v>0</v>
      </c>
      <c r="CP31" s="19">
        <v>1</v>
      </c>
      <c r="CQ31" s="19">
        <v>1</v>
      </c>
      <c r="CR31" s="19">
        <v>1</v>
      </c>
      <c r="CS31" s="19">
        <v>1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1</v>
      </c>
      <c r="DE31" s="19">
        <v>0</v>
      </c>
      <c r="DF31" s="19">
        <v>0</v>
      </c>
      <c r="DG31" s="19">
        <v>0</v>
      </c>
      <c r="DH31" s="19">
        <v>0</v>
      </c>
      <c r="DI31" s="19">
        <v>1</v>
      </c>
      <c r="DJ31" s="21">
        <v>10917</v>
      </c>
      <c r="DK31" s="19">
        <v>1360002136</v>
      </c>
      <c r="DL31" s="19">
        <v>1202909983</v>
      </c>
      <c r="DM31" s="19">
        <v>8000</v>
      </c>
      <c r="DN31" s="19">
        <v>31511025</v>
      </c>
      <c r="DO31" s="19">
        <v>29172524</v>
      </c>
      <c r="DP31" s="19">
        <v>79169405</v>
      </c>
      <c r="DQ31" s="19">
        <v>2662462</v>
      </c>
      <c r="DR31" s="19">
        <v>13201590</v>
      </c>
      <c r="DS31" s="19">
        <v>1367147</v>
      </c>
      <c r="DT31" s="22">
        <v>0.22</v>
      </c>
    </row>
    <row r="32" spans="1:124" x14ac:dyDescent="0.35">
      <c r="A32" s="19" t="s">
        <v>124</v>
      </c>
      <c r="B32" s="19" t="s">
        <v>154</v>
      </c>
      <c r="C32" s="19">
        <v>961186.16602263146</v>
      </c>
      <c r="D32" s="19">
        <v>153789.78656362102</v>
      </c>
      <c r="E32" s="20">
        <v>14416</v>
      </c>
      <c r="F32" s="19">
        <v>0</v>
      </c>
      <c r="G32" s="19">
        <v>0</v>
      </c>
      <c r="H32" s="19">
        <v>1204</v>
      </c>
      <c r="I32" s="19">
        <v>6680</v>
      </c>
      <c r="J32" s="19">
        <v>0</v>
      </c>
      <c r="K32" s="19">
        <v>0</v>
      </c>
      <c r="L32" s="19">
        <v>0</v>
      </c>
      <c r="M32" s="19">
        <v>5720</v>
      </c>
      <c r="N32" s="19">
        <v>40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752</v>
      </c>
      <c r="V32" s="19">
        <v>0</v>
      </c>
      <c r="W32" s="19">
        <v>0</v>
      </c>
      <c r="X32" s="19">
        <v>0</v>
      </c>
      <c r="Y32" s="19">
        <v>15</v>
      </c>
      <c r="Z32" s="19">
        <v>5</v>
      </c>
      <c r="AA32" s="19">
        <v>0</v>
      </c>
      <c r="AB32" s="19">
        <v>0</v>
      </c>
      <c r="AC32" s="19">
        <v>0</v>
      </c>
      <c r="AD32" s="19">
        <v>1268.6461538461538</v>
      </c>
      <c r="AE32" s="19">
        <v>66.8</v>
      </c>
      <c r="AF32" s="19">
        <v>1144</v>
      </c>
      <c r="AG32" s="19">
        <v>0</v>
      </c>
      <c r="AH32" s="19">
        <v>57.846153846153847</v>
      </c>
      <c r="AI32" s="19">
        <v>0</v>
      </c>
      <c r="AJ32" s="19">
        <v>0</v>
      </c>
      <c r="AK32" s="19">
        <v>1714</v>
      </c>
      <c r="AL32" s="19">
        <v>56</v>
      </c>
      <c r="AM32" s="19">
        <v>1431</v>
      </c>
      <c r="AN32" s="19">
        <v>158</v>
      </c>
      <c r="AO32" s="19">
        <v>69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9</v>
      </c>
      <c r="BA32" s="19">
        <v>0</v>
      </c>
      <c r="BB32" s="19">
        <v>0</v>
      </c>
      <c r="BC32" s="19">
        <v>0</v>
      </c>
      <c r="BD32" s="19">
        <v>9</v>
      </c>
      <c r="BE32" s="19">
        <v>0</v>
      </c>
      <c r="BF32" s="19">
        <v>0</v>
      </c>
      <c r="BG32" s="19">
        <v>0</v>
      </c>
      <c r="BH32" s="19">
        <v>25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1</v>
      </c>
      <c r="BS32" s="19">
        <v>0</v>
      </c>
      <c r="BT32" s="19">
        <v>1</v>
      </c>
      <c r="BU32" s="19">
        <v>0</v>
      </c>
      <c r="BV32" s="19">
        <v>0</v>
      </c>
      <c r="BW32" s="19">
        <v>1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21">
        <v>10905</v>
      </c>
      <c r="DK32" s="19">
        <v>900143</v>
      </c>
      <c r="DL32" s="19">
        <v>45621</v>
      </c>
      <c r="DM32" s="19">
        <v>0</v>
      </c>
      <c r="DN32" s="19">
        <v>682351</v>
      </c>
      <c r="DO32" s="19">
        <v>4000</v>
      </c>
      <c r="DP32" s="19">
        <v>149576</v>
      </c>
      <c r="DQ32" s="19">
        <v>0</v>
      </c>
      <c r="DR32" s="19">
        <v>18595</v>
      </c>
      <c r="DS32" s="19">
        <v>0</v>
      </c>
      <c r="DT32" s="22">
        <v>0.16</v>
      </c>
    </row>
    <row r="33" spans="1:124" x14ac:dyDescent="0.35">
      <c r="A33" s="19" t="s">
        <v>124</v>
      </c>
      <c r="B33" s="19" t="s">
        <v>155</v>
      </c>
      <c r="C33" s="19">
        <v>2043264.2060230752</v>
      </c>
      <c r="D33" s="19">
        <v>326922.27296369203</v>
      </c>
      <c r="E33" s="20">
        <v>2584643</v>
      </c>
      <c r="F33" s="19">
        <v>2433</v>
      </c>
      <c r="G33" s="19">
        <v>28776</v>
      </c>
      <c r="H33" s="19">
        <v>713</v>
      </c>
      <c r="I33" s="19">
        <v>2366987</v>
      </c>
      <c r="J33" s="19">
        <v>388</v>
      </c>
      <c r="K33" s="19">
        <v>4475</v>
      </c>
      <c r="L33" s="19">
        <v>383</v>
      </c>
      <c r="M33" s="19">
        <v>19439</v>
      </c>
      <c r="N33" s="19">
        <v>9812</v>
      </c>
      <c r="O33" s="19">
        <v>0</v>
      </c>
      <c r="P33" s="19">
        <v>1828</v>
      </c>
      <c r="Q33" s="19">
        <v>0</v>
      </c>
      <c r="R33" s="19">
        <v>12</v>
      </c>
      <c r="S33" s="19">
        <v>562</v>
      </c>
      <c r="T33" s="19">
        <v>27660</v>
      </c>
      <c r="U33" s="19">
        <v>89499</v>
      </c>
      <c r="V33" s="19">
        <v>429</v>
      </c>
      <c r="W33" s="19">
        <v>157</v>
      </c>
      <c r="X33" s="19">
        <v>38</v>
      </c>
      <c r="Y33" s="19">
        <v>5771</v>
      </c>
      <c r="Z33" s="19">
        <v>16101</v>
      </c>
      <c r="AA33" s="19">
        <v>0</v>
      </c>
      <c r="AB33" s="19">
        <v>0</v>
      </c>
      <c r="AC33" s="19">
        <v>9180</v>
      </c>
      <c r="AD33" s="19">
        <v>46161.208461538459</v>
      </c>
      <c r="AE33" s="19">
        <v>23669.87</v>
      </c>
      <c r="AF33" s="19">
        <v>3887.8</v>
      </c>
      <c r="AG33" s="19">
        <v>11719</v>
      </c>
      <c r="AH33" s="19">
        <v>6884.5384615384619</v>
      </c>
      <c r="AI33" s="19">
        <v>0</v>
      </c>
      <c r="AJ33" s="19">
        <v>0</v>
      </c>
      <c r="AK33" s="19">
        <v>69387</v>
      </c>
      <c r="AL33" s="19">
        <v>19725</v>
      </c>
      <c r="AM33" s="19">
        <v>3926</v>
      </c>
      <c r="AN33" s="19">
        <v>35358</v>
      </c>
      <c r="AO33" s="19">
        <v>10378</v>
      </c>
      <c r="AP33" s="19">
        <v>0</v>
      </c>
      <c r="AQ33" s="19">
        <v>0</v>
      </c>
      <c r="AR33" s="19">
        <v>53988</v>
      </c>
      <c r="AS33" s="19">
        <v>11719</v>
      </c>
      <c r="AT33" s="19">
        <v>19531</v>
      </c>
      <c r="AU33" s="19">
        <v>1603.6</v>
      </c>
      <c r="AV33" s="19">
        <v>719</v>
      </c>
      <c r="AW33" s="19">
        <v>16405</v>
      </c>
      <c r="AX33" s="19">
        <v>2186</v>
      </c>
      <c r="AY33" s="19">
        <v>0</v>
      </c>
      <c r="AZ33" s="19">
        <v>112</v>
      </c>
      <c r="BA33" s="19">
        <v>68</v>
      </c>
      <c r="BB33" s="19">
        <v>0</v>
      </c>
      <c r="BC33" s="19">
        <v>5</v>
      </c>
      <c r="BD33" s="19">
        <v>185</v>
      </c>
      <c r="BE33" s="19">
        <v>0</v>
      </c>
      <c r="BF33" s="19">
        <v>18</v>
      </c>
      <c r="BG33" s="19">
        <v>0</v>
      </c>
      <c r="BH33" s="19">
        <v>388</v>
      </c>
      <c r="BI33" s="19">
        <v>67</v>
      </c>
      <c r="BJ33" s="19">
        <v>43</v>
      </c>
      <c r="BK33" s="19">
        <v>200</v>
      </c>
      <c r="BL33" s="19">
        <v>20614</v>
      </c>
      <c r="BM33" s="19">
        <v>845</v>
      </c>
      <c r="BN33" s="19">
        <v>132</v>
      </c>
      <c r="BO33" s="19">
        <v>7148</v>
      </c>
      <c r="BP33" s="19">
        <v>0</v>
      </c>
      <c r="BQ33" s="19">
        <v>0</v>
      </c>
      <c r="BR33" s="19">
        <v>1</v>
      </c>
      <c r="BS33" s="19">
        <v>0</v>
      </c>
      <c r="BT33" s="19">
        <v>1</v>
      </c>
      <c r="BU33" s="19">
        <v>0</v>
      </c>
      <c r="BV33" s="19">
        <v>0</v>
      </c>
      <c r="BW33" s="19">
        <v>1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1</v>
      </c>
      <c r="CQ33" s="19">
        <v>1</v>
      </c>
      <c r="CR33" s="19">
        <v>1</v>
      </c>
      <c r="CS33" s="19">
        <v>1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21">
        <v>10915</v>
      </c>
      <c r="DK33" s="19">
        <v>65276797</v>
      </c>
      <c r="DL33" s="19">
        <v>44650759</v>
      </c>
      <c r="DM33" s="19">
        <v>0</v>
      </c>
      <c r="DN33" s="19">
        <v>1970127</v>
      </c>
      <c r="DO33" s="19">
        <v>1092732</v>
      </c>
      <c r="DP33" s="19">
        <v>11713893</v>
      </c>
      <c r="DQ33" s="19">
        <v>2638394</v>
      </c>
      <c r="DR33" s="19">
        <v>2603897</v>
      </c>
      <c r="DS33" s="19">
        <v>606995</v>
      </c>
      <c r="DT33" s="22">
        <v>0.21</v>
      </c>
    </row>
    <row r="34" spans="1:124" x14ac:dyDescent="0.35">
      <c r="A34" s="19" t="s">
        <v>124</v>
      </c>
      <c r="B34" s="19" t="s">
        <v>156</v>
      </c>
      <c r="C34" s="19">
        <v>2898255.850859873</v>
      </c>
      <c r="D34" s="19">
        <v>463720.93613757967</v>
      </c>
      <c r="E34" s="20">
        <v>15919906</v>
      </c>
      <c r="F34" s="19">
        <v>0</v>
      </c>
      <c r="G34" s="19">
        <v>38388</v>
      </c>
      <c r="H34" s="19">
        <v>1503</v>
      </c>
      <c r="I34" s="19">
        <v>15697828</v>
      </c>
      <c r="J34" s="19">
        <v>2</v>
      </c>
      <c r="K34" s="19">
        <v>5402</v>
      </c>
      <c r="L34" s="19">
        <v>520</v>
      </c>
      <c r="M34" s="19">
        <v>42104</v>
      </c>
      <c r="N34" s="19">
        <v>12070</v>
      </c>
      <c r="O34" s="19">
        <v>5</v>
      </c>
      <c r="P34" s="19">
        <v>0</v>
      </c>
      <c r="Q34" s="19">
        <v>0</v>
      </c>
      <c r="R34" s="19">
        <v>51</v>
      </c>
      <c r="S34" s="19">
        <v>0</v>
      </c>
      <c r="T34" s="19">
        <v>520</v>
      </c>
      <c r="U34" s="19">
        <v>88436</v>
      </c>
      <c r="V34" s="19">
        <v>0</v>
      </c>
      <c r="W34" s="19">
        <v>1154</v>
      </c>
      <c r="X34" s="19">
        <v>50</v>
      </c>
      <c r="Y34" s="19">
        <v>13983</v>
      </c>
      <c r="Z34" s="19">
        <v>17693</v>
      </c>
      <c r="AA34" s="19">
        <v>117</v>
      </c>
      <c r="AB34" s="19">
        <v>0</v>
      </c>
      <c r="AC34" s="19">
        <v>80</v>
      </c>
      <c r="AD34" s="19">
        <v>177721.84923076921</v>
      </c>
      <c r="AE34" s="19">
        <v>156978.28</v>
      </c>
      <c r="AF34" s="19">
        <v>8420.7999999999993</v>
      </c>
      <c r="AG34" s="19">
        <v>5398</v>
      </c>
      <c r="AH34" s="19">
        <v>6802.7692307692305</v>
      </c>
      <c r="AI34" s="19">
        <v>5</v>
      </c>
      <c r="AJ34" s="19">
        <v>117</v>
      </c>
      <c r="AK34" s="19">
        <v>198887</v>
      </c>
      <c r="AL34" s="19">
        <v>130815</v>
      </c>
      <c r="AM34" s="19">
        <v>9443</v>
      </c>
      <c r="AN34" s="19">
        <v>45489</v>
      </c>
      <c r="AO34" s="19">
        <v>11951</v>
      </c>
      <c r="AP34" s="19">
        <v>1170</v>
      </c>
      <c r="AQ34" s="19">
        <v>19</v>
      </c>
      <c r="AR34" s="19">
        <v>68852</v>
      </c>
      <c r="AS34" s="19">
        <v>5398</v>
      </c>
      <c r="AT34" s="19">
        <v>1647</v>
      </c>
      <c r="AU34" s="19">
        <v>445.7</v>
      </c>
      <c r="AV34" s="19">
        <v>109</v>
      </c>
      <c r="AW34" s="19">
        <v>31508</v>
      </c>
      <c r="AX34" s="19">
        <v>675</v>
      </c>
      <c r="AY34" s="19">
        <v>0</v>
      </c>
      <c r="AZ34" s="19">
        <v>78</v>
      </c>
      <c r="BA34" s="19">
        <v>111</v>
      </c>
      <c r="BB34" s="19">
        <v>0</v>
      </c>
      <c r="BC34" s="19">
        <v>12</v>
      </c>
      <c r="BD34" s="19">
        <v>201</v>
      </c>
      <c r="BE34" s="19">
        <v>0</v>
      </c>
      <c r="BF34" s="19">
        <v>26</v>
      </c>
      <c r="BG34" s="19">
        <v>1</v>
      </c>
      <c r="BH34" s="19">
        <v>645</v>
      </c>
      <c r="BI34" s="19">
        <v>538</v>
      </c>
      <c r="BJ34" s="19">
        <v>101</v>
      </c>
      <c r="BK34" s="19">
        <v>580</v>
      </c>
      <c r="BL34" s="19">
        <v>0</v>
      </c>
      <c r="BM34" s="19">
        <v>0</v>
      </c>
      <c r="BN34" s="19">
        <v>0</v>
      </c>
      <c r="BO34" s="19">
        <v>0</v>
      </c>
      <c r="BP34" s="19">
        <v>1</v>
      </c>
      <c r="BQ34" s="19">
        <v>0</v>
      </c>
      <c r="BR34" s="19">
        <v>1</v>
      </c>
      <c r="BS34" s="19">
        <v>0</v>
      </c>
      <c r="BT34" s="19">
        <v>1</v>
      </c>
      <c r="BU34" s="19">
        <v>0</v>
      </c>
      <c r="BV34" s="19">
        <v>0</v>
      </c>
      <c r="BW34" s="19">
        <v>1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1</v>
      </c>
      <c r="DF34" s="19">
        <v>0</v>
      </c>
      <c r="DG34" s="19">
        <v>0</v>
      </c>
      <c r="DH34" s="19">
        <v>0</v>
      </c>
      <c r="DI34" s="19">
        <v>1</v>
      </c>
      <c r="DJ34" s="21">
        <v>10904</v>
      </c>
      <c r="DK34" s="19">
        <v>211745407</v>
      </c>
      <c r="DL34" s="19">
        <v>186093961</v>
      </c>
      <c r="DM34" s="19">
        <v>200</v>
      </c>
      <c r="DN34" s="19">
        <v>4648563</v>
      </c>
      <c r="DO34" s="19">
        <v>1197802</v>
      </c>
      <c r="DP34" s="19">
        <v>16253290</v>
      </c>
      <c r="DQ34" s="19">
        <v>9773</v>
      </c>
      <c r="DR34" s="19">
        <v>2726801</v>
      </c>
      <c r="DS34" s="19">
        <v>815017</v>
      </c>
      <c r="DT34" s="22">
        <v>0.2</v>
      </c>
    </row>
    <row r="35" spans="1:124" x14ac:dyDescent="0.35">
      <c r="A35" s="19" t="s">
        <v>124</v>
      </c>
      <c r="B35" s="19" t="s">
        <v>157</v>
      </c>
      <c r="C35" s="19">
        <v>507195.63667434285</v>
      </c>
      <c r="D35" s="19">
        <v>81151.301867894857</v>
      </c>
      <c r="E35" s="20">
        <v>1135789</v>
      </c>
      <c r="F35" s="19">
        <v>0</v>
      </c>
      <c r="G35" s="19">
        <v>2237</v>
      </c>
      <c r="H35" s="19">
        <v>21</v>
      </c>
      <c r="I35" s="19">
        <v>1102375</v>
      </c>
      <c r="J35" s="19">
        <v>0</v>
      </c>
      <c r="K35" s="19">
        <v>316</v>
      </c>
      <c r="L35" s="19">
        <v>2</v>
      </c>
      <c r="M35" s="19">
        <v>5729</v>
      </c>
      <c r="N35" s="19">
        <v>282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13961</v>
      </c>
      <c r="V35" s="19">
        <v>0</v>
      </c>
      <c r="W35" s="19">
        <v>14</v>
      </c>
      <c r="X35" s="19">
        <v>0</v>
      </c>
      <c r="Y35" s="19">
        <v>724</v>
      </c>
      <c r="Z35" s="19">
        <v>10125</v>
      </c>
      <c r="AA35" s="19">
        <v>0</v>
      </c>
      <c r="AB35" s="19">
        <v>0</v>
      </c>
      <c r="AC35" s="19">
        <v>3</v>
      </c>
      <c r="AD35" s="19">
        <v>13243.473076923075</v>
      </c>
      <c r="AE35" s="19">
        <v>11023.75</v>
      </c>
      <c r="AF35" s="19">
        <v>1145.8</v>
      </c>
      <c r="AG35" s="19">
        <v>0</v>
      </c>
      <c r="AH35" s="19">
        <v>1073.9230769230769</v>
      </c>
      <c r="AI35" s="19">
        <v>0</v>
      </c>
      <c r="AJ35" s="19">
        <v>0</v>
      </c>
      <c r="AK35" s="19">
        <v>13073</v>
      </c>
      <c r="AL35" s="19">
        <v>9185</v>
      </c>
      <c r="AM35" s="19">
        <v>1369</v>
      </c>
      <c r="AN35" s="19">
        <v>957</v>
      </c>
      <c r="AO35" s="19">
        <v>1562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751</v>
      </c>
      <c r="AZ35" s="19">
        <v>15</v>
      </c>
      <c r="BA35" s="19">
        <v>0</v>
      </c>
      <c r="BB35" s="19">
        <v>0</v>
      </c>
      <c r="BC35" s="19">
        <v>2</v>
      </c>
      <c r="BD35" s="19">
        <v>17</v>
      </c>
      <c r="BE35" s="19">
        <v>15</v>
      </c>
      <c r="BF35" s="19">
        <v>0</v>
      </c>
      <c r="BG35" s="19">
        <v>0</v>
      </c>
      <c r="BH35" s="19">
        <v>132</v>
      </c>
      <c r="BI35" s="19">
        <v>36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1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1</v>
      </c>
      <c r="CA35" s="19">
        <v>1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21">
        <v>10925</v>
      </c>
      <c r="DK35" s="19">
        <v>9736917</v>
      </c>
      <c r="DL35" s="19">
        <v>6292267</v>
      </c>
      <c r="DM35" s="19">
        <v>0</v>
      </c>
      <c r="DN35" s="19">
        <v>665472</v>
      </c>
      <c r="DO35" s="19">
        <v>64011</v>
      </c>
      <c r="DP35" s="19">
        <v>2277668</v>
      </c>
      <c r="DQ35" s="19">
        <v>0</v>
      </c>
      <c r="DR35" s="19">
        <v>389250</v>
      </c>
      <c r="DS35" s="19">
        <v>48249</v>
      </c>
      <c r="DT35" s="22">
        <v>0.18</v>
      </c>
    </row>
    <row r="36" spans="1:124" x14ac:dyDescent="0.35">
      <c r="A36" s="19" t="s">
        <v>124</v>
      </c>
      <c r="B36" s="19" t="s">
        <v>158</v>
      </c>
      <c r="C36" s="19">
        <v>216173.38423746187</v>
      </c>
      <c r="D36" s="19">
        <v>34587.741477993899</v>
      </c>
      <c r="E36" s="20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21">
        <v>10934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22">
        <v>0.16</v>
      </c>
    </row>
    <row r="37" spans="1:124" x14ac:dyDescent="0.35">
      <c r="A37" s="19" t="s">
        <v>124</v>
      </c>
      <c r="B37" s="19" t="s">
        <v>159</v>
      </c>
      <c r="C37" s="19">
        <v>210870.56036909102</v>
      </c>
      <c r="D37" s="19">
        <v>33739.289659054564</v>
      </c>
      <c r="E37" s="20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1</v>
      </c>
      <c r="BS37" s="19">
        <v>0</v>
      </c>
      <c r="BT37" s="19">
        <v>0</v>
      </c>
      <c r="BU37" s="19">
        <v>0</v>
      </c>
      <c r="BV37" s="19">
        <v>0</v>
      </c>
      <c r="BW37" s="19">
        <v>1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>
        <v>0</v>
      </c>
      <c r="DH37" s="19">
        <v>0</v>
      </c>
      <c r="DI37" s="19">
        <v>0</v>
      </c>
      <c r="DJ37" s="21">
        <v>10935</v>
      </c>
      <c r="DK37" s="19">
        <v>0</v>
      </c>
      <c r="DL37" s="19">
        <v>0</v>
      </c>
      <c r="DM37" s="19">
        <v>0</v>
      </c>
      <c r="DN37" s="19">
        <v>0</v>
      </c>
      <c r="DO37" s="19">
        <v>0</v>
      </c>
      <c r="DP37" s="19">
        <v>0</v>
      </c>
      <c r="DQ37" s="19">
        <v>0</v>
      </c>
      <c r="DR37" s="19">
        <v>0</v>
      </c>
      <c r="DS37" s="19">
        <v>0</v>
      </c>
      <c r="DT37" s="22">
        <v>0.23</v>
      </c>
    </row>
    <row r="38" spans="1:124" x14ac:dyDescent="0.35">
      <c r="A38" s="19" t="s">
        <v>124</v>
      </c>
      <c r="B38" s="19" t="s">
        <v>160</v>
      </c>
      <c r="C38" s="19">
        <v>770477.55241359607</v>
      </c>
      <c r="D38" s="19">
        <v>123276.40838617538</v>
      </c>
      <c r="E38" s="20">
        <v>340894</v>
      </c>
      <c r="F38" s="19">
        <v>0</v>
      </c>
      <c r="G38" s="19">
        <v>192</v>
      </c>
      <c r="H38" s="19">
        <v>1008</v>
      </c>
      <c r="I38" s="19">
        <v>311132</v>
      </c>
      <c r="J38" s="19">
        <v>0</v>
      </c>
      <c r="K38" s="19">
        <v>1650</v>
      </c>
      <c r="L38" s="19">
        <v>108</v>
      </c>
      <c r="M38" s="19">
        <v>5932</v>
      </c>
      <c r="N38" s="19">
        <v>716</v>
      </c>
      <c r="O38" s="19">
        <v>0</v>
      </c>
      <c r="P38" s="19">
        <v>0</v>
      </c>
      <c r="Q38" s="19">
        <v>0</v>
      </c>
      <c r="R38" s="19">
        <v>19</v>
      </c>
      <c r="S38" s="19">
        <v>0</v>
      </c>
      <c r="T38" s="19">
        <v>280</v>
      </c>
      <c r="U38" s="19">
        <v>9799</v>
      </c>
      <c r="V38" s="19">
        <v>0</v>
      </c>
      <c r="W38" s="19">
        <v>572</v>
      </c>
      <c r="X38" s="19">
        <v>18</v>
      </c>
      <c r="Y38" s="19">
        <v>3762</v>
      </c>
      <c r="Z38" s="19">
        <v>5706</v>
      </c>
      <c r="AA38" s="19">
        <v>0</v>
      </c>
      <c r="AB38" s="19">
        <v>0</v>
      </c>
      <c r="AC38" s="19">
        <v>0</v>
      </c>
      <c r="AD38" s="19">
        <v>5051.4892307692307</v>
      </c>
      <c r="AE38" s="19">
        <v>3111.32</v>
      </c>
      <c r="AF38" s="19">
        <v>1186.4000000000001</v>
      </c>
      <c r="AG38" s="19">
        <v>0</v>
      </c>
      <c r="AH38" s="19">
        <v>753.76923076923072</v>
      </c>
      <c r="AI38" s="19">
        <v>0</v>
      </c>
      <c r="AJ38" s="19">
        <v>0</v>
      </c>
      <c r="AK38" s="19">
        <v>8117</v>
      </c>
      <c r="AL38" s="19">
        <v>2592</v>
      </c>
      <c r="AM38" s="19">
        <v>1428</v>
      </c>
      <c r="AN38" s="19">
        <v>2661</v>
      </c>
      <c r="AO38" s="19">
        <v>1436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52</v>
      </c>
      <c r="BA38" s="19">
        <v>58</v>
      </c>
      <c r="BB38" s="19">
        <v>0</v>
      </c>
      <c r="BC38" s="19">
        <v>7</v>
      </c>
      <c r="BD38" s="19">
        <v>117</v>
      </c>
      <c r="BE38" s="19">
        <v>0</v>
      </c>
      <c r="BF38" s="19">
        <v>0</v>
      </c>
      <c r="BG38" s="19">
        <v>0</v>
      </c>
      <c r="BH38" s="19">
        <v>86</v>
      </c>
      <c r="BI38" s="19">
        <v>1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1</v>
      </c>
      <c r="BQ38" s="19">
        <v>1</v>
      </c>
      <c r="BR38" s="19">
        <v>1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1</v>
      </c>
      <c r="CA38" s="19">
        <v>1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1</v>
      </c>
      <c r="DF38" s="19">
        <v>1</v>
      </c>
      <c r="DG38" s="19">
        <v>0</v>
      </c>
      <c r="DH38" s="19">
        <v>0</v>
      </c>
      <c r="DI38" s="19">
        <v>0</v>
      </c>
      <c r="DJ38" s="21">
        <v>10902</v>
      </c>
      <c r="DK38" s="19">
        <v>10175554</v>
      </c>
      <c r="DL38" s="19">
        <v>3935718</v>
      </c>
      <c r="DM38" s="19">
        <v>0</v>
      </c>
      <c r="DN38" s="19">
        <v>785616</v>
      </c>
      <c r="DO38" s="19">
        <v>77558</v>
      </c>
      <c r="DP38" s="19">
        <v>5006315</v>
      </c>
      <c r="DQ38" s="19">
        <v>0</v>
      </c>
      <c r="DR38" s="19">
        <v>366320</v>
      </c>
      <c r="DS38" s="19">
        <v>4027</v>
      </c>
      <c r="DT38" s="22">
        <v>0.17</v>
      </c>
    </row>
    <row r="39" spans="1:124" x14ac:dyDescent="0.35">
      <c r="A39" s="19" t="s">
        <v>124</v>
      </c>
      <c r="B39" s="19" t="s">
        <v>161</v>
      </c>
      <c r="C39" s="19">
        <v>456134.52240306215</v>
      </c>
      <c r="D39" s="19">
        <v>72981.523584489943</v>
      </c>
      <c r="E39" s="20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1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21">
        <v>10936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22">
        <v>0.19</v>
      </c>
    </row>
    <row r="40" spans="1:124" x14ac:dyDescent="0.35">
      <c r="A40" s="19" t="s">
        <v>124</v>
      </c>
      <c r="B40" s="19" t="s">
        <v>162</v>
      </c>
      <c r="C40" s="19">
        <v>526764.42640214227</v>
      </c>
      <c r="D40" s="19">
        <v>84282.308224342763</v>
      </c>
      <c r="E40" s="20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1</v>
      </c>
      <c r="BS40" s="19">
        <v>0</v>
      </c>
      <c r="BT40" s="19">
        <v>0</v>
      </c>
      <c r="BU40" s="19">
        <v>1</v>
      </c>
      <c r="BV40" s="19">
        <v>1</v>
      </c>
      <c r="BW40" s="19">
        <v>0</v>
      </c>
      <c r="BX40" s="19">
        <v>1</v>
      </c>
      <c r="BY40" s="19">
        <v>1</v>
      </c>
      <c r="BZ40" s="19">
        <v>1</v>
      </c>
      <c r="CA40" s="19">
        <v>1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21">
        <v>10937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22">
        <v>0.17</v>
      </c>
    </row>
    <row r="41" spans="1:124" x14ac:dyDescent="0.35">
      <c r="A41" s="19" t="s">
        <v>163</v>
      </c>
      <c r="B41" s="19" t="s">
        <v>164</v>
      </c>
      <c r="C41" s="19">
        <v>2340730.3007649216</v>
      </c>
      <c r="D41" s="19">
        <v>374516.84812238743</v>
      </c>
      <c r="E41" s="20">
        <v>4185771</v>
      </c>
      <c r="F41" s="19">
        <v>814</v>
      </c>
      <c r="G41" s="19">
        <v>20605</v>
      </c>
      <c r="H41" s="19">
        <v>406</v>
      </c>
      <c r="I41" s="19">
        <v>3785114</v>
      </c>
      <c r="J41" s="19">
        <v>36</v>
      </c>
      <c r="K41" s="19">
        <v>6583</v>
      </c>
      <c r="L41" s="19">
        <v>599</v>
      </c>
      <c r="M41" s="19">
        <v>61900</v>
      </c>
      <c r="N41" s="19">
        <v>5957</v>
      </c>
      <c r="O41" s="19">
        <v>10</v>
      </c>
      <c r="P41" s="19">
        <v>448</v>
      </c>
      <c r="Q41" s="19">
        <v>6</v>
      </c>
      <c r="R41" s="19">
        <v>77</v>
      </c>
      <c r="S41" s="19">
        <v>120</v>
      </c>
      <c r="T41" s="19">
        <v>6520</v>
      </c>
      <c r="U41" s="19">
        <v>243577</v>
      </c>
      <c r="V41" s="19">
        <v>23</v>
      </c>
      <c r="W41" s="19">
        <v>1948</v>
      </c>
      <c r="X41" s="19">
        <v>470</v>
      </c>
      <c r="Y41" s="19">
        <v>13051</v>
      </c>
      <c r="Z41" s="19">
        <v>31251</v>
      </c>
      <c r="AA41" s="19">
        <v>12</v>
      </c>
      <c r="AB41" s="19">
        <v>2980</v>
      </c>
      <c r="AC41" s="19">
        <v>3264</v>
      </c>
      <c r="AD41" s="19">
        <v>78692.832307692312</v>
      </c>
      <c r="AE41" s="19">
        <v>37851.14</v>
      </c>
      <c r="AF41" s="19">
        <v>12380</v>
      </c>
      <c r="AG41" s="19">
        <v>9703</v>
      </c>
      <c r="AH41" s="19">
        <v>18736.692307692309</v>
      </c>
      <c r="AI41" s="19">
        <v>10</v>
      </c>
      <c r="AJ41" s="19">
        <v>12</v>
      </c>
      <c r="AK41" s="19">
        <v>85958</v>
      </c>
      <c r="AL41" s="19">
        <v>31543</v>
      </c>
      <c r="AM41" s="19">
        <v>13657</v>
      </c>
      <c r="AN41" s="19">
        <v>22689</v>
      </c>
      <c r="AO41" s="19">
        <v>17911</v>
      </c>
      <c r="AP41" s="19">
        <v>120</v>
      </c>
      <c r="AQ41" s="19">
        <v>38</v>
      </c>
      <c r="AR41" s="19">
        <v>54451</v>
      </c>
      <c r="AS41" s="19">
        <v>9703</v>
      </c>
      <c r="AT41" s="19">
        <v>14468</v>
      </c>
      <c r="AU41" s="19">
        <v>2867.4000000000005</v>
      </c>
      <c r="AV41" s="19">
        <v>1507</v>
      </c>
      <c r="AW41" s="19">
        <v>10346</v>
      </c>
      <c r="AX41" s="19">
        <v>4267</v>
      </c>
      <c r="AY41" s="19">
        <v>0</v>
      </c>
      <c r="AZ41" s="19">
        <v>86</v>
      </c>
      <c r="BA41" s="19">
        <v>39</v>
      </c>
      <c r="BB41" s="19">
        <v>0</v>
      </c>
      <c r="BC41" s="19">
        <v>24</v>
      </c>
      <c r="BD41" s="19">
        <v>149</v>
      </c>
      <c r="BE41" s="19">
        <v>0</v>
      </c>
      <c r="BF41" s="19">
        <v>10</v>
      </c>
      <c r="BG41" s="19">
        <v>0</v>
      </c>
      <c r="BH41" s="19">
        <v>757</v>
      </c>
      <c r="BI41" s="19">
        <v>352</v>
      </c>
      <c r="BJ41" s="19">
        <v>166</v>
      </c>
      <c r="BK41" s="19">
        <v>1374</v>
      </c>
      <c r="BL41" s="19">
        <v>2824</v>
      </c>
      <c r="BM41" s="19">
        <v>120</v>
      </c>
      <c r="BN41" s="19">
        <v>15</v>
      </c>
      <c r="BO41" s="19">
        <v>949</v>
      </c>
      <c r="BP41" s="19">
        <v>0</v>
      </c>
      <c r="BQ41" s="19">
        <v>0</v>
      </c>
      <c r="BR41" s="19">
        <v>1</v>
      </c>
      <c r="BS41" s="19">
        <v>0</v>
      </c>
      <c r="BT41" s="19">
        <v>0</v>
      </c>
      <c r="BU41" s="19">
        <v>0</v>
      </c>
      <c r="BV41" s="19">
        <v>0</v>
      </c>
      <c r="BW41" s="19">
        <v>1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1</v>
      </c>
      <c r="CQ41" s="19">
        <v>1</v>
      </c>
      <c r="CR41" s="19">
        <v>1</v>
      </c>
      <c r="CS41" s="19">
        <v>1</v>
      </c>
      <c r="CT41" s="19">
        <v>1</v>
      </c>
      <c r="CU41" s="19">
        <v>1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21">
        <v>30801</v>
      </c>
      <c r="DK41" s="19">
        <v>85079231</v>
      </c>
      <c r="DL41" s="19">
        <v>50421887</v>
      </c>
      <c r="DM41" s="19">
        <v>1400</v>
      </c>
      <c r="DN41" s="19">
        <v>7142624</v>
      </c>
      <c r="DO41" s="19">
        <v>405290</v>
      </c>
      <c r="DP41" s="19">
        <v>20281429</v>
      </c>
      <c r="DQ41" s="19">
        <v>846152</v>
      </c>
      <c r="DR41" s="19">
        <v>5533314</v>
      </c>
      <c r="DS41" s="19">
        <v>447135</v>
      </c>
      <c r="DT41" s="22">
        <v>0.28999999999999998</v>
      </c>
    </row>
    <row r="42" spans="1:124" x14ac:dyDescent="0.35">
      <c r="A42" s="19" t="s">
        <v>163</v>
      </c>
      <c r="B42" s="19" t="s">
        <v>165</v>
      </c>
      <c r="C42" s="19">
        <v>3828927.8622085801</v>
      </c>
      <c r="D42" s="19">
        <v>612628.45795337285</v>
      </c>
      <c r="E42" s="20">
        <v>5455057</v>
      </c>
      <c r="F42" s="19">
        <v>120</v>
      </c>
      <c r="G42" s="19">
        <v>33446</v>
      </c>
      <c r="H42" s="19">
        <v>1095</v>
      </c>
      <c r="I42" s="19">
        <v>4969327</v>
      </c>
      <c r="J42" s="19">
        <v>0</v>
      </c>
      <c r="K42" s="19">
        <v>34741</v>
      </c>
      <c r="L42" s="19">
        <v>1694</v>
      </c>
      <c r="M42" s="19">
        <v>36025</v>
      </c>
      <c r="N42" s="19">
        <v>10252</v>
      </c>
      <c r="O42" s="19">
        <v>0</v>
      </c>
      <c r="P42" s="19">
        <v>20</v>
      </c>
      <c r="Q42" s="19">
        <v>0</v>
      </c>
      <c r="R42" s="19">
        <v>160</v>
      </c>
      <c r="S42" s="19">
        <v>0</v>
      </c>
      <c r="T42" s="19">
        <v>1420</v>
      </c>
      <c r="U42" s="19">
        <v>344681</v>
      </c>
      <c r="V42" s="19">
        <v>0</v>
      </c>
      <c r="W42" s="19">
        <v>1377</v>
      </c>
      <c r="X42" s="19">
        <v>491</v>
      </c>
      <c r="Y42" s="19">
        <v>7403</v>
      </c>
      <c r="Z42" s="19">
        <v>12203</v>
      </c>
      <c r="AA42" s="19">
        <v>0</v>
      </c>
      <c r="AB42" s="19">
        <v>560</v>
      </c>
      <c r="AC42" s="19">
        <v>42</v>
      </c>
      <c r="AD42" s="19">
        <v>92388.193076923068</v>
      </c>
      <c r="AE42" s="19">
        <v>49693.27</v>
      </c>
      <c r="AF42" s="19">
        <v>7205</v>
      </c>
      <c r="AG42" s="19">
        <v>8976</v>
      </c>
      <c r="AH42" s="19">
        <v>26513.923076923078</v>
      </c>
      <c r="AI42" s="19">
        <v>0</v>
      </c>
      <c r="AJ42" s="19">
        <v>0</v>
      </c>
      <c r="AK42" s="19">
        <v>109132</v>
      </c>
      <c r="AL42" s="19">
        <v>41410</v>
      </c>
      <c r="AM42" s="19">
        <v>7430</v>
      </c>
      <c r="AN42" s="19">
        <v>36227</v>
      </c>
      <c r="AO42" s="19">
        <v>24065</v>
      </c>
      <c r="AP42" s="19">
        <v>0</v>
      </c>
      <c r="AQ42" s="19">
        <v>0</v>
      </c>
      <c r="AR42" s="19">
        <v>31939</v>
      </c>
      <c r="AS42" s="19">
        <v>8976</v>
      </c>
      <c r="AT42" s="19">
        <v>3015</v>
      </c>
      <c r="AU42" s="19">
        <v>36</v>
      </c>
      <c r="AV42" s="19">
        <v>4</v>
      </c>
      <c r="AW42" s="19">
        <v>15814</v>
      </c>
      <c r="AX42" s="19">
        <v>70</v>
      </c>
      <c r="AY42" s="19">
        <v>27248.76371987797</v>
      </c>
      <c r="AZ42" s="19">
        <v>245</v>
      </c>
      <c r="BA42" s="19">
        <v>62</v>
      </c>
      <c r="BB42" s="19">
        <v>6</v>
      </c>
      <c r="BC42" s="19">
        <v>16</v>
      </c>
      <c r="BD42" s="19">
        <v>329</v>
      </c>
      <c r="BE42" s="19">
        <v>151</v>
      </c>
      <c r="BF42" s="19">
        <v>0</v>
      </c>
      <c r="BG42" s="19">
        <v>0</v>
      </c>
      <c r="BH42" s="19">
        <v>1174</v>
      </c>
      <c r="BI42" s="19">
        <v>200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1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1</v>
      </c>
      <c r="CA42" s="19">
        <v>1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1</v>
      </c>
      <c r="CI42" s="19">
        <v>1</v>
      </c>
      <c r="CJ42" s="19">
        <v>1</v>
      </c>
      <c r="CK42" s="19">
        <v>1</v>
      </c>
      <c r="CL42" s="19">
        <v>1</v>
      </c>
      <c r="CM42" s="19">
        <v>1</v>
      </c>
      <c r="CN42" s="19">
        <v>1</v>
      </c>
      <c r="CO42" s="19">
        <v>0</v>
      </c>
      <c r="CP42" s="19">
        <v>1</v>
      </c>
      <c r="CQ42" s="19">
        <v>1</v>
      </c>
      <c r="CR42" s="19">
        <v>1</v>
      </c>
      <c r="CS42" s="19">
        <v>1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1</v>
      </c>
      <c r="DJ42" s="21">
        <v>30335</v>
      </c>
      <c r="DK42" s="19">
        <v>135887793</v>
      </c>
      <c r="DL42" s="19">
        <v>67380625</v>
      </c>
      <c r="DM42" s="19">
        <v>0</v>
      </c>
      <c r="DN42" s="19">
        <v>3877311</v>
      </c>
      <c r="DO42" s="19">
        <v>1649477</v>
      </c>
      <c r="DP42" s="19">
        <v>54859654</v>
      </c>
      <c r="DQ42" s="19">
        <v>59224</v>
      </c>
      <c r="DR42" s="19">
        <v>7338984</v>
      </c>
      <c r="DS42" s="19">
        <v>722518</v>
      </c>
      <c r="DT42" s="22">
        <v>0.24</v>
      </c>
    </row>
    <row r="43" spans="1:124" x14ac:dyDescent="0.35">
      <c r="A43" s="19" t="s">
        <v>163</v>
      </c>
      <c r="B43" s="19" t="s">
        <v>166</v>
      </c>
      <c r="C43" s="19">
        <v>4621193.6901179459</v>
      </c>
      <c r="D43" s="19">
        <v>739390.9904188714</v>
      </c>
      <c r="E43" s="20">
        <v>15306118</v>
      </c>
      <c r="F43" s="19">
        <v>5878</v>
      </c>
      <c r="G43" s="19">
        <v>107026</v>
      </c>
      <c r="H43" s="19">
        <v>1189</v>
      </c>
      <c r="I43" s="19">
        <v>14584323</v>
      </c>
      <c r="J43" s="19">
        <v>388</v>
      </c>
      <c r="K43" s="19">
        <v>34853</v>
      </c>
      <c r="L43" s="19">
        <v>4074</v>
      </c>
      <c r="M43" s="19">
        <v>49066</v>
      </c>
      <c r="N43" s="19">
        <v>32889</v>
      </c>
      <c r="O43" s="19">
        <v>0</v>
      </c>
      <c r="P43" s="19">
        <v>2724</v>
      </c>
      <c r="Q43" s="19">
        <v>0</v>
      </c>
      <c r="R43" s="19">
        <v>247</v>
      </c>
      <c r="S43" s="19">
        <v>1226</v>
      </c>
      <c r="T43" s="19">
        <v>23400</v>
      </c>
      <c r="U43" s="19">
        <v>384510</v>
      </c>
      <c r="V43" s="19">
        <v>590</v>
      </c>
      <c r="W43" s="19">
        <v>6313</v>
      </c>
      <c r="X43" s="19">
        <v>1750</v>
      </c>
      <c r="Y43" s="19">
        <v>17087</v>
      </c>
      <c r="Z43" s="19">
        <v>37376</v>
      </c>
      <c r="AA43" s="19">
        <v>13</v>
      </c>
      <c r="AB43" s="19">
        <v>3250</v>
      </c>
      <c r="AC43" s="19">
        <v>7946</v>
      </c>
      <c r="AD43" s="19">
        <v>208480.12230769233</v>
      </c>
      <c r="AE43" s="19">
        <v>145843.23000000001</v>
      </c>
      <c r="AF43" s="19">
        <v>9813.2000000000007</v>
      </c>
      <c r="AG43" s="19">
        <v>23233</v>
      </c>
      <c r="AH43" s="19">
        <v>29577.692307692309</v>
      </c>
      <c r="AI43" s="19">
        <v>0</v>
      </c>
      <c r="AJ43" s="19">
        <v>13</v>
      </c>
      <c r="AK43" s="19">
        <v>282910</v>
      </c>
      <c r="AL43" s="19">
        <v>121534</v>
      </c>
      <c r="AM43" s="19">
        <v>9336</v>
      </c>
      <c r="AN43" s="19">
        <v>117440</v>
      </c>
      <c r="AO43" s="19">
        <v>34470</v>
      </c>
      <c r="AP43" s="19">
        <v>130</v>
      </c>
      <c r="AQ43" s="19">
        <v>0</v>
      </c>
      <c r="AR43" s="19">
        <v>96704</v>
      </c>
      <c r="AS43" s="19">
        <v>23233</v>
      </c>
      <c r="AT43" s="19">
        <v>17053</v>
      </c>
      <c r="AU43" s="19">
        <v>1994.9000000000005</v>
      </c>
      <c r="AV43" s="19">
        <v>928</v>
      </c>
      <c r="AW43" s="19">
        <v>29644</v>
      </c>
      <c r="AX43" s="19">
        <v>2659</v>
      </c>
      <c r="AY43" s="19">
        <v>29684.427998491756</v>
      </c>
      <c r="AZ43" s="19">
        <v>311</v>
      </c>
      <c r="BA43" s="19">
        <v>154</v>
      </c>
      <c r="BB43" s="19">
        <v>47</v>
      </c>
      <c r="BC43" s="19">
        <v>42</v>
      </c>
      <c r="BD43" s="19">
        <v>554</v>
      </c>
      <c r="BE43" s="19">
        <v>159</v>
      </c>
      <c r="BF43" s="19">
        <v>120</v>
      </c>
      <c r="BG43" s="19">
        <v>6</v>
      </c>
      <c r="BH43" s="19">
        <v>1168</v>
      </c>
      <c r="BI43" s="19">
        <v>1093</v>
      </c>
      <c r="BJ43" s="19">
        <v>109</v>
      </c>
      <c r="BK43" s="19">
        <v>400</v>
      </c>
      <c r="BL43" s="19">
        <v>70432</v>
      </c>
      <c r="BM43" s="19">
        <v>8427</v>
      </c>
      <c r="BN43" s="19">
        <v>1239</v>
      </c>
      <c r="BO43" s="19">
        <v>45482</v>
      </c>
      <c r="BP43" s="19">
        <v>0</v>
      </c>
      <c r="BQ43" s="19">
        <v>0</v>
      </c>
      <c r="BR43" s="19">
        <v>1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1</v>
      </c>
      <c r="CA43" s="19">
        <v>1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1</v>
      </c>
      <c r="CI43" s="19">
        <v>1</v>
      </c>
      <c r="CJ43" s="19">
        <v>1</v>
      </c>
      <c r="CK43" s="19">
        <v>1</v>
      </c>
      <c r="CL43" s="19">
        <v>1</v>
      </c>
      <c r="CM43" s="19">
        <v>1</v>
      </c>
      <c r="CN43" s="19">
        <v>1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1</v>
      </c>
      <c r="CU43" s="19">
        <v>1</v>
      </c>
      <c r="CV43" s="19">
        <v>0</v>
      </c>
      <c r="CW43" s="19">
        <v>0</v>
      </c>
      <c r="CX43" s="19">
        <v>0</v>
      </c>
      <c r="CY43" s="19">
        <v>1</v>
      </c>
      <c r="CZ43" s="19">
        <v>0</v>
      </c>
      <c r="DA43" s="19">
        <v>0</v>
      </c>
      <c r="DB43" s="19">
        <v>0</v>
      </c>
      <c r="DC43" s="19">
        <v>1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1</v>
      </c>
      <c r="DJ43" s="21">
        <v>30334</v>
      </c>
      <c r="DK43" s="19">
        <v>278469841</v>
      </c>
      <c r="DL43" s="19">
        <v>179347928</v>
      </c>
      <c r="DM43" s="19">
        <v>0</v>
      </c>
      <c r="DN43" s="19">
        <v>4982716</v>
      </c>
      <c r="DO43" s="19">
        <v>4659923</v>
      </c>
      <c r="DP43" s="19">
        <v>74179929</v>
      </c>
      <c r="DQ43" s="19">
        <v>3915860</v>
      </c>
      <c r="DR43" s="19">
        <v>9132125</v>
      </c>
      <c r="DS43" s="19">
        <v>2251360</v>
      </c>
      <c r="DT43" s="22">
        <v>0.23</v>
      </c>
    </row>
    <row r="44" spans="1:124" x14ac:dyDescent="0.35">
      <c r="A44" s="19" t="s">
        <v>163</v>
      </c>
      <c r="B44" s="19" t="s">
        <v>167</v>
      </c>
      <c r="C44" s="19">
        <v>2111067.4471466215</v>
      </c>
      <c r="D44" s="19">
        <v>337770.79154345946</v>
      </c>
      <c r="E44" s="20">
        <v>2482953</v>
      </c>
      <c r="F44" s="19">
        <v>7</v>
      </c>
      <c r="G44" s="19">
        <v>71</v>
      </c>
      <c r="H44" s="19">
        <v>843</v>
      </c>
      <c r="I44" s="19">
        <v>2295837</v>
      </c>
      <c r="J44" s="19">
        <v>3</v>
      </c>
      <c r="K44" s="19">
        <v>8172</v>
      </c>
      <c r="L44" s="19">
        <v>3385</v>
      </c>
      <c r="M44" s="19">
        <v>35484</v>
      </c>
      <c r="N44" s="19">
        <v>1724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580</v>
      </c>
      <c r="U44" s="19">
        <v>110211</v>
      </c>
      <c r="V44" s="19">
        <v>0</v>
      </c>
      <c r="W44" s="19">
        <v>642</v>
      </c>
      <c r="X44" s="19">
        <v>55</v>
      </c>
      <c r="Y44" s="19">
        <v>8416</v>
      </c>
      <c r="Z44" s="19">
        <v>17523</v>
      </c>
      <c r="AA44" s="19">
        <v>0</v>
      </c>
      <c r="AB44" s="19">
        <v>0</v>
      </c>
      <c r="AC44" s="19">
        <v>0</v>
      </c>
      <c r="AD44" s="19">
        <v>39832.939230769232</v>
      </c>
      <c r="AE44" s="19">
        <v>22958.37</v>
      </c>
      <c r="AF44" s="19">
        <v>7096.8</v>
      </c>
      <c r="AG44" s="19">
        <v>1300</v>
      </c>
      <c r="AH44" s="19">
        <v>8477.7692307692305</v>
      </c>
      <c r="AI44" s="19">
        <v>0</v>
      </c>
      <c r="AJ44" s="19">
        <v>0</v>
      </c>
      <c r="AK44" s="19">
        <v>41387</v>
      </c>
      <c r="AL44" s="19">
        <v>19131</v>
      </c>
      <c r="AM44" s="19">
        <v>7712</v>
      </c>
      <c r="AN44" s="19">
        <v>5820</v>
      </c>
      <c r="AO44" s="19">
        <v>8724</v>
      </c>
      <c r="AP44" s="19">
        <v>0</v>
      </c>
      <c r="AQ44" s="19">
        <v>0</v>
      </c>
      <c r="AR44" s="19">
        <v>5489</v>
      </c>
      <c r="AS44" s="19">
        <v>1300</v>
      </c>
      <c r="AT44" s="19">
        <v>0</v>
      </c>
      <c r="AU44" s="19">
        <v>0</v>
      </c>
      <c r="AV44" s="19">
        <v>0</v>
      </c>
      <c r="AW44" s="19">
        <v>3289</v>
      </c>
      <c r="AX44" s="19">
        <v>0</v>
      </c>
      <c r="AY44" s="19">
        <v>0</v>
      </c>
      <c r="AZ44" s="19">
        <v>102</v>
      </c>
      <c r="BA44" s="19">
        <v>64</v>
      </c>
      <c r="BB44" s="19">
        <v>0</v>
      </c>
      <c r="BC44" s="19">
        <v>0</v>
      </c>
      <c r="BD44" s="19">
        <v>166</v>
      </c>
      <c r="BE44" s="19">
        <v>0</v>
      </c>
      <c r="BF44" s="19">
        <v>1</v>
      </c>
      <c r="BG44" s="19">
        <v>0</v>
      </c>
      <c r="BH44" s="19">
        <v>766</v>
      </c>
      <c r="BI44" s="19">
        <v>27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1</v>
      </c>
      <c r="BS44" s="19">
        <v>0</v>
      </c>
      <c r="BT44" s="19">
        <v>0</v>
      </c>
      <c r="BU44" s="19">
        <v>0</v>
      </c>
      <c r="BV44" s="19">
        <v>0</v>
      </c>
      <c r="BW44" s="19">
        <v>1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1</v>
      </c>
      <c r="DJ44" s="21">
        <v>30506</v>
      </c>
      <c r="DK44" s="19">
        <v>55172283</v>
      </c>
      <c r="DL44" s="19">
        <v>18845795</v>
      </c>
      <c r="DM44" s="19">
        <v>0</v>
      </c>
      <c r="DN44" s="19">
        <v>3805348</v>
      </c>
      <c r="DO44" s="19">
        <v>366775</v>
      </c>
      <c r="DP44" s="19">
        <v>29544491</v>
      </c>
      <c r="DQ44" s="19">
        <v>2486</v>
      </c>
      <c r="DR44" s="19">
        <v>2605924</v>
      </c>
      <c r="DS44" s="19">
        <v>1464</v>
      </c>
      <c r="DT44" s="22">
        <v>0.26</v>
      </c>
    </row>
    <row r="45" spans="1:124" x14ac:dyDescent="0.35">
      <c r="A45" s="19" t="s">
        <v>163</v>
      </c>
      <c r="B45" s="19" t="s">
        <v>168</v>
      </c>
      <c r="C45" s="19">
        <v>1221480.7272539758</v>
      </c>
      <c r="D45" s="19">
        <v>195436.91636063613</v>
      </c>
      <c r="E45" s="20">
        <v>3865147</v>
      </c>
      <c r="F45" s="19">
        <v>2834</v>
      </c>
      <c r="G45" s="19">
        <v>36341</v>
      </c>
      <c r="H45" s="19">
        <v>1586</v>
      </c>
      <c r="I45" s="19">
        <v>3580557</v>
      </c>
      <c r="J45" s="19">
        <v>513</v>
      </c>
      <c r="K45" s="19">
        <v>9480</v>
      </c>
      <c r="L45" s="19">
        <v>1636</v>
      </c>
      <c r="M45" s="19">
        <v>20722</v>
      </c>
      <c r="N45" s="19">
        <v>9195</v>
      </c>
      <c r="O45" s="19">
        <v>0</v>
      </c>
      <c r="P45" s="19">
        <v>2350</v>
      </c>
      <c r="Q45" s="19">
        <v>48</v>
      </c>
      <c r="R45" s="19">
        <v>40</v>
      </c>
      <c r="S45" s="19">
        <v>1557</v>
      </c>
      <c r="T45" s="19">
        <v>15840</v>
      </c>
      <c r="U45" s="19">
        <v>127929</v>
      </c>
      <c r="V45" s="19">
        <v>548</v>
      </c>
      <c r="W45" s="19">
        <v>2355</v>
      </c>
      <c r="X45" s="19">
        <v>369</v>
      </c>
      <c r="Y45" s="19">
        <v>13826</v>
      </c>
      <c r="Z45" s="19">
        <v>30801</v>
      </c>
      <c r="AA45" s="19">
        <v>19</v>
      </c>
      <c r="AB45" s="19">
        <v>0</v>
      </c>
      <c r="AC45" s="19">
        <v>6601</v>
      </c>
      <c r="AD45" s="19">
        <v>64613.662307692313</v>
      </c>
      <c r="AE45" s="19">
        <v>35805.57</v>
      </c>
      <c r="AF45" s="19">
        <v>4144.3999999999996</v>
      </c>
      <c r="AG45" s="19">
        <v>14804</v>
      </c>
      <c r="AH45" s="19">
        <v>9840.6923076923085</v>
      </c>
      <c r="AI45" s="19">
        <v>0</v>
      </c>
      <c r="AJ45" s="19">
        <v>19</v>
      </c>
      <c r="AK45" s="19">
        <v>81727</v>
      </c>
      <c r="AL45" s="19">
        <v>29837</v>
      </c>
      <c r="AM45" s="19">
        <v>4392</v>
      </c>
      <c r="AN45" s="19">
        <v>31979</v>
      </c>
      <c r="AO45" s="19">
        <v>15329</v>
      </c>
      <c r="AP45" s="19">
        <v>190</v>
      </c>
      <c r="AQ45" s="19">
        <v>0</v>
      </c>
      <c r="AR45" s="19">
        <v>63179</v>
      </c>
      <c r="AS45" s="19">
        <v>14804</v>
      </c>
      <c r="AT45" s="19">
        <v>16247</v>
      </c>
      <c r="AU45" s="19">
        <v>6306.5999999999976</v>
      </c>
      <c r="AV45" s="19">
        <v>1438</v>
      </c>
      <c r="AW45" s="19">
        <v>17637</v>
      </c>
      <c r="AX45" s="19">
        <v>8565</v>
      </c>
      <c r="AY45" s="19">
        <v>0</v>
      </c>
      <c r="AZ45" s="19">
        <v>103</v>
      </c>
      <c r="BA45" s="19">
        <v>32</v>
      </c>
      <c r="BB45" s="19">
        <v>2</v>
      </c>
      <c r="BC45" s="19">
        <v>0</v>
      </c>
      <c r="BD45" s="19">
        <v>137</v>
      </c>
      <c r="BE45" s="19">
        <v>0</v>
      </c>
      <c r="BF45" s="19">
        <v>13</v>
      </c>
      <c r="BG45" s="19">
        <v>1</v>
      </c>
      <c r="BH45" s="19">
        <v>440</v>
      </c>
      <c r="BI45" s="19">
        <v>507</v>
      </c>
      <c r="BJ45" s="19">
        <v>0</v>
      </c>
      <c r="BK45" s="19">
        <v>0</v>
      </c>
      <c r="BL45" s="19">
        <v>11821</v>
      </c>
      <c r="BM45" s="19">
        <v>728</v>
      </c>
      <c r="BN45" s="19">
        <v>85</v>
      </c>
      <c r="BO45" s="19">
        <v>4069</v>
      </c>
      <c r="BP45" s="19">
        <v>0</v>
      </c>
      <c r="BQ45" s="19">
        <v>0</v>
      </c>
      <c r="BR45" s="19">
        <v>1</v>
      </c>
      <c r="BS45" s="19">
        <v>0</v>
      </c>
      <c r="BT45" s="19">
        <v>0</v>
      </c>
      <c r="BU45" s="19">
        <v>0</v>
      </c>
      <c r="BV45" s="19">
        <v>0</v>
      </c>
      <c r="BW45" s="19">
        <v>1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1</v>
      </c>
      <c r="CQ45" s="19">
        <v>1</v>
      </c>
      <c r="CR45" s="19">
        <v>1</v>
      </c>
      <c r="CS45" s="19">
        <v>1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0</v>
      </c>
      <c r="CZ45" s="19">
        <v>0</v>
      </c>
      <c r="DA45" s="19">
        <v>0</v>
      </c>
      <c r="DB45" s="19">
        <v>0</v>
      </c>
      <c r="DC45" s="19">
        <v>0</v>
      </c>
      <c r="DD45" s="19">
        <v>0</v>
      </c>
      <c r="DE45" s="19">
        <v>0</v>
      </c>
      <c r="DF45" s="19">
        <v>0</v>
      </c>
      <c r="DG45" s="19">
        <v>0</v>
      </c>
      <c r="DH45" s="19">
        <v>0</v>
      </c>
      <c r="DI45" s="19">
        <v>0</v>
      </c>
      <c r="DJ45" s="21">
        <v>30804</v>
      </c>
      <c r="DK45" s="19">
        <v>86021199</v>
      </c>
      <c r="DL45" s="19">
        <v>46909629</v>
      </c>
      <c r="DM45" s="19">
        <v>0</v>
      </c>
      <c r="DN45" s="19">
        <v>2411692</v>
      </c>
      <c r="DO45" s="19">
        <v>961737</v>
      </c>
      <c r="DP45" s="19">
        <v>28677088</v>
      </c>
      <c r="DQ45" s="19">
        <v>2602294</v>
      </c>
      <c r="DR45" s="19">
        <v>3668189</v>
      </c>
      <c r="DS45" s="19">
        <v>790570</v>
      </c>
      <c r="DT45" s="22">
        <v>0.32</v>
      </c>
    </row>
    <row r="46" spans="1:124" x14ac:dyDescent="0.35">
      <c r="A46" s="19" t="s">
        <v>163</v>
      </c>
      <c r="B46" s="19" t="s">
        <v>169</v>
      </c>
      <c r="C46" s="19">
        <v>1685670.3221550779</v>
      </c>
      <c r="D46" s="19">
        <v>269707.25154481246</v>
      </c>
      <c r="E46" s="20">
        <v>10096653</v>
      </c>
      <c r="F46" s="19">
        <v>679</v>
      </c>
      <c r="G46" s="19">
        <v>37136</v>
      </c>
      <c r="H46" s="19">
        <v>302</v>
      </c>
      <c r="I46" s="19">
        <v>9776791</v>
      </c>
      <c r="J46" s="19">
        <v>38</v>
      </c>
      <c r="K46" s="19">
        <v>5633</v>
      </c>
      <c r="L46" s="19">
        <v>401</v>
      </c>
      <c r="M46" s="19">
        <v>12773</v>
      </c>
      <c r="N46" s="19">
        <v>6253</v>
      </c>
      <c r="O46" s="19">
        <v>0</v>
      </c>
      <c r="P46" s="19">
        <v>562</v>
      </c>
      <c r="Q46" s="19">
        <v>0</v>
      </c>
      <c r="R46" s="19">
        <v>89</v>
      </c>
      <c r="S46" s="19">
        <v>58</v>
      </c>
      <c r="T46" s="19">
        <v>11560</v>
      </c>
      <c r="U46" s="19">
        <v>220372</v>
      </c>
      <c r="V46" s="19">
        <v>21</v>
      </c>
      <c r="W46" s="19">
        <v>1182</v>
      </c>
      <c r="X46" s="19">
        <v>540</v>
      </c>
      <c r="Y46" s="19">
        <v>5587</v>
      </c>
      <c r="Z46" s="19">
        <v>10898</v>
      </c>
      <c r="AA46" s="19">
        <v>0</v>
      </c>
      <c r="AB46" s="19">
        <v>1453</v>
      </c>
      <c r="AC46" s="19">
        <v>4325</v>
      </c>
      <c r="AD46" s="19">
        <v>121321.20230769232</v>
      </c>
      <c r="AE46" s="19">
        <v>97767.91</v>
      </c>
      <c r="AF46" s="19">
        <v>2554.6</v>
      </c>
      <c r="AG46" s="19">
        <v>4047</v>
      </c>
      <c r="AH46" s="19">
        <v>16951.692307692309</v>
      </c>
      <c r="AI46" s="19">
        <v>0</v>
      </c>
      <c r="AJ46" s="19">
        <v>0</v>
      </c>
      <c r="AK46" s="19">
        <v>121569</v>
      </c>
      <c r="AL46" s="19">
        <v>81474</v>
      </c>
      <c r="AM46" s="19">
        <v>2649</v>
      </c>
      <c r="AN46" s="19">
        <v>22247</v>
      </c>
      <c r="AO46" s="19">
        <v>15199</v>
      </c>
      <c r="AP46" s="19">
        <v>0</v>
      </c>
      <c r="AQ46" s="19">
        <v>0</v>
      </c>
      <c r="AR46" s="19">
        <v>13325</v>
      </c>
      <c r="AS46" s="19">
        <v>4047</v>
      </c>
      <c r="AT46" s="19">
        <v>3450</v>
      </c>
      <c r="AU46" s="19">
        <v>1863</v>
      </c>
      <c r="AV46" s="19">
        <v>258</v>
      </c>
      <c r="AW46" s="19">
        <v>3047</v>
      </c>
      <c r="AX46" s="19">
        <v>1755</v>
      </c>
      <c r="AY46" s="19">
        <v>0</v>
      </c>
      <c r="AZ46" s="19">
        <v>61</v>
      </c>
      <c r="BA46" s="19">
        <v>86</v>
      </c>
      <c r="BB46" s="19">
        <v>0</v>
      </c>
      <c r="BC46" s="19">
        <v>5</v>
      </c>
      <c r="BD46" s="19">
        <v>152</v>
      </c>
      <c r="BE46" s="19">
        <v>0</v>
      </c>
      <c r="BF46" s="19">
        <v>18</v>
      </c>
      <c r="BG46" s="19">
        <v>0</v>
      </c>
      <c r="BH46" s="19">
        <v>358</v>
      </c>
      <c r="BI46" s="19">
        <v>285</v>
      </c>
      <c r="BJ46" s="19">
        <v>0</v>
      </c>
      <c r="BK46" s="19">
        <v>0</v>
      </c>
      <c r="BL46" s="19">
        <v>10568</v>
      </c>
      <c r="BM46" s="19">
        <v>661</v>
      </c>
      <c r="BN46" s="19">
        <v>57</v>
      </c>
      <c r="BO46" s="19">
        <v>3305</v>
      </c>
      <c r="BP46" s="19">
        <v>0</v>
      </c>
      <c r="BQ46" s="19">
        <v>0</v>
      </c>
      <c r="BR46" s="19">
        <v>1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1</v>
      </c>
      <c r="CA46" s="19">
        <v>1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21">
        <v>30511</v>
      </c>
      <c r="DK46" s="19">
        <v>140211996</v>
      </c>
      <c r="DL46" s="19">
        <v>118972227</v>
      </c>
      <c r="DM46" s="19">
        <v>0</v>
      </c>
      <c r="DN46" s="19">
        <v>1513306</v>
      </c>
      <c r="DO46" s="19">
        <v>879664</v>
      </c>
      <c r="DP46" s="19">
        <v>12481249</v>
      </c>
      <c r="DQ46" s="19">
        <v>1002598</v>
      </c>
      <c r="DR46" s="19">
        <v>4564284</v>
      </c>
      <c r="DS46" s="19">
        <v>798668</v>
      </c>
      <c r="DT46" s="22">
        <v>0.24</v>
      </c>
    </row>
    <row r="47" spans="1:124" x14ac:dyDescent="0.35">
      <c r="A47" s="19" t="s">
        <v>163</v>
      </c>
      <c r="B47" s="19" t="s">
        <v>170</v>
      </c>
      <c r="C47" s="19">
        <v>2532505.5185646866</v>
      </c>
      <c r="D47" s="19">
        <v>405200.88297034986</v>
      </c>
      <c r="E47" s="20">
        <v>5968175</v>
      </c>
      <c r="F47" s="19">
        <v>6901</v>
      </c>
      <c r="G47" s="19">
        <v>17618</v>
      </c>
      <c r="H47" s="19">
        <v>1934</v>
      </c>
      <c r="I47" s="19">
        <v>5188479</v>
      </c>
      <c r="J47" s="19">
        <v>62</v>
      </c>
      <c r="K47" s="19">
        <v>12712</v>
      </c>
      <c r="L47" s="19">
        <v>169</v>
      </c>
      <c r="M47" s="19">
        <v>78677</v>
      </c>
      <c r="N47" s="19">
        <v>25572</v>
      </c>
      <c r="O47" s="19">
        <v>5</v>
      </c>
      <c r="P47" s="19">
        <v>2143</v>
      </c>
      <c r="Q47" s="19">
        <v>0</v>
      </c>
      <c r="R47" s="19">
        <v>237</v>
      </c>
      <c r="S47" s="19">
        <v>394</v>
      </c>
      <c r="T47" s="19">
        <v>39020</v>
      </c>
      <c r="U47" s="19">
        <v>536987</v>
      </c>
      <c r="V47" s="19">
        <v>312</v>
      </c>
      <c r="W47" s="19">
        <v>398</v>
      </c>
      <c r="X47" s="19">
        <v>671</v>
      </c>
      <c r="Y47" s="19">
        <v>8267</v>
      </c>
      <c r="Z47" s="19">
        <v>35275</v>
      </c>
      <c r="AA47" s="19">
        <v>119</v>
      </c>
      <c r="AB47" s="19">
        <v>420</v>
      </c>
      <c r="AC47" s="19">
        <v>11803</v>
      </c>
      <c r="AD47" s="19">
        <v>153880.88230769231</v>
      </c>
      <c r="AE47" s="19">
        <v>51884.79</v>
      </c>
      <c r="AF47" s="19">
        <v>15735.4</v>
      </c>
      <c r="AG47" s="19">
        <v>44830</v>
      </c>
      <c r="AH47" s="19">
        <v>41306.692307692305</v>
      </c>
      <c r="AI47" s="19">
        <v>5</v>
      </c>
      <c r="AJ47" s="19">
        <v>119</v>
      </c>
      <c r="AK47" s="19">
        <v>182424</v>
      </c>
      <c r="AL47" s="19">
        <v>43237</v>
      </c>
      <c r="AM47" s="19">
        <v>14317</v>
      </c>
      <c r="AN47" s="19">
        <v>87442</v>
      </c>
      <c r="AO47" s="19">
        <v>36219</v>
      </c>
      <c r="AP47" s="19">
        <v>1190</v>
      </c>
      <c r="AQ47" s="19">
        <v>19</v>
      </c>
      <c r="AR47" s="19">
        <v>174046</v>
      </c>
      <c r="AS47" s="19">
        <v>44830</v>
      </c>
      <c r="AT47" s="19">
        <v>5317</v>
      </c>
      <c r="AU47" s="19">
        <v>30024.90000000002</v>
      </c>
      <c r="AV47" s="19">
        <v>7979</v>
      </c>
      <c r="AW47" s="19">
        <v>64524</v>
      </c>
      <c r="AX47" s="19">
        <v>31494</v>
      </c>
      <c r="AY47" s="19">
        <v>0</v>
      </c>
      <c r="AZ47" s="19">
        <v>47</v>
      </c>
      <c r="BA47" s="19">
        <v>89</v>
      </c>
      <c r="BB47" s="19">
        <v>1</v>
      </c>
      <c r="BC47" s="19">
        <v>4</v>
      </c>
      <c r="BD47" s="19">
        <v>141</v>
      </c>
      <c r="BE47" s="19">
        <v>0</v>
      </c>
      <c r="BF47" s="19">
        <v>55</v>
      </c>
      <c r="BG47" s="19">
        <v>1</v>
      </c>
      <c r="BH47" s="19">
        <v>770</v>
      </c>
      <c r="BI47" s="19">
        <v>153</v>
      </c>
      <c r="BJ47" s="19">
        <v>0</v>
      </c>
      <c r="BK47" s="19">
        <v>0</v>
      </c>
      <c r="BL47" s="19">
        <v>10773</v>
      </c>
      <c r="BM47" s="19">
        <v>499</v>
      </c>
      <c r="BN47" s="19">
        <v>109</v>
      </c>
      <c r="BO47" s="19">
        <v>3231</v>
      </c>
      <c r="BP47" s="19">
        <v>1</v>
      </c>
      <c r="BQ47" s="19">
        <v>1</v>
      </c>
      <c r="BR47" s="19">
        <v>1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1</v>
      </c>
      <c r="CA47" s="19">
        <v>1</v>
      </c>
      <c r="CB47" s="19">
        <v>0</v>
      </c>
      <c r="CC47" s="19">
        <v>0</v>
      </c>
      <c r="CD47" s="19">
        <v>1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1</v>
      </c>
      <c r="CQ47" s="19">
        <v>1</v>
      </c>
      <c r="CR47" s="19">
        <v>1</v>
      </c>
      <c r="CS47" s="19">
        <v>1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1</v>
      </c>
      <c r="DJ47" s="21">
        <v>30430</v>
      </c>
      <c r="DK47" s="19">
        <v>111193479</v>
      </c>
      <c r="DL47" s="19">
        <v>59380124</v>
      </c>
      <c r="DM47" s="19">
        <v>1000</v>
      </c>
      <c r="DN47" s="19">
        <v>7466045</v>
      </c>
      <c r="DO47" s="19">
        <v>3692158</v>
      </c>
      <c r="DP47" s="19">
        <v>25119905</v>
      </c>
      <c r="DQ47" s="19">
        <v>4208860</v>
      </c>
      <c r="DR47" s="19">
        <v>10955196</v>
      </c>
      <c r="DS47" s="19">
        <v>370191</v>
      </c>
      <c r="DT47" s="22">
        <v>0.22</v>
      </c>
    </row>
    <row r="48" spans="1:124" x14ac:dyDescent="0.35">
      <c r="A48" s="19" t="s">
        <v>163</v>
      </c>
      <c r="B48" s="19" t="s">
        <v>171</v>
      </c>
      <c r="C48" s="19">
        <v>9787974.2969725225</v>
      </c>
      <c r="D48" s="19">
        <v>1566075.8875156036</v>
      </c>
      <c r="E48" s="20">
        <v>126979928</v>
      </c>
      <c r="F48" s="19">
        <v>9407</v>
      </c>
      <c r="G48" s="19">
        <v>117476</v>
      </c>
      <c r="H48" s="19">
        <v>1952</v>
      </c>
      <c r="I48" s="19">
        <v>125568294</v>
      </c>
      <c r="J48" s="19">
        <v>825</v>
      </c>
      <c r="K48" s="19">
        <v>55326</v>
      </c>
      <c r="L48" s="19">
        <v>9650</v>
      </c>
      <c r="M48" s="19">
        <v>64361</v>
      </c>
      <c r="N48" s="19">
        <v>67325</v>
      </c>
      <c r="O48" s="19">
        <v>189</v>
      </c>
      <c r="P48" s="19">
        <v>5037</v>
      </c>
      <c r="Q48" s="19">
        <v>0</v>
      </c>
      <c r="R48" s="19">
        <v>574</v>
      </c>
      <c r="S48" s="19">
        <v>1493</v>
      </c>
      <c r="T48" s="19">
        <v>106740</v>
      </c>
      <c r="U48" s="19">
        <v>777920</v>
      </c>
      <c r="V48" s="19">
        <v>648</v>
      </c>
      <c r="W48" s="19">
        <v>4859</v>
      </c>
      <c r="X48" s="19">
        <v>1515</v>
      </c>
      <c r="Y48" s="19">
        <v>46415</v>
      </c>
      <c r="Z48" s="19">
        <v>96257</v>
      </c>
      <c r="AA48" s="19">
        <v>263</v>
      </c>
      <c r="AB48" s="19">
        <v>3470</v>
      </c>
      <c r="AC48" s="19">
        <v>39932</v>
      </c>
      <c r="AD48" s="19">
        <v>1405374.14</v>
      </c>
      <c r="AE48" s="19">
        <v>1255682.94</v>
      </c>
      <c r="AF48" s="19">
        <v>12872.2</v>
      </c>
      <c r="AG48" s="19">
        <v>76527</v>
      </c>
      <c r="AH48" s="19">
        <v>59840</v>
      </c>
      <c r="AI48" s="19">
        <v>189</v>
      </c>
      <c r="AJ48" s="19">
        <v>263</v>
      </c>
      <c r="AK48" s="19">
        <v>1369471</v>
      </c>
      <c r="AL48" s="19">
        <v>1046401</v>
      </c>
      <c r="AM48" s="19">
        <v>12530</v>
      </c>
      <c r="AN48" s="19">
        <v>237264</v>
      </c>
      <c r="AO48" s="19">
        <v>69928</v>
      </c>
      <c r="AP48" s="19">
        <v>2630</v>
      </c>
      <c r="AQ48" s="19">
        <v>718</v>
      </c>
      <c r="AR48" s="19">
        <v>279867</v>
      </c>
      <c r="AS48" s="19">
        <v>76527</v>
      </c>
      <c r="AT48" s="19">
        <v>49031</v>
      </c>
      <c r="AU48" s="19">
        <v>23935.799999999996</v>
      </c>
      <c r="AV48" s="19">
        <v>8680</v>
      </c>
      <c r="AW48" s="19">
        <v>86633</v>
      </c>
      <c r="AX48" s="19">
        <v>24371</v>
      </c>
      <c r="AY48" s="19">
        <v>53142.263874130193</v>
      </c>
      <c r="AZ48" s="19">
        <v>710</v>
      </c>
      <c r="BA48" s="19">
        <v>354</v>
      </c>
      <c r="BB48" s="19">
        <v>52</v>
      </c>
      <c r="BC48" s="19">
        <v>58</v>
      </c>
      <c r="BD48" s="19">
        <v>1174</v>
      </c>
      <c r="BE48" s="19">
        <v>431</v>
      </c>
      <c r="BF48" s="19">
        <v>264</v>
      </c>
      <c r="BG48" s="19">
        <v>8</v>
      </c>
      <c r="BH48" s="19">
        <v>2496</v>
      </c>
      <c r="BI48" s="19">
        <v>5357</v>
      </c>
      <c r="BJ48" s="19">
        <v>128</v>
      </c>
      <c r="BK48" s="19">
        <v>118</v>
      </c>
      <c r="BL48" s="19">
        <v>116764</v>
      </c>
      <c r="BM48" s="19">
        <v>9819</v>
      </c>
      <c r="BN48" s="19">
        <v>770</v>
      </c>
      <c r="BO48" s="19">
        <v>68159</v>
      </c>
      <c r="BP48" s="19">
        <v>0</v>
      </c>
      <c r="BQ48" s="19">
        <v>0</v>
      </c>
      <c r="BR48" s="19">
        <v>1</v>
      </c>
      <c r="BS48" s="19">
        <v>1</v>
      </c>
      <c r="BT48" s="19">
        <v>0</v>
      </c>
      <c r="BU48" s="19">
        <v>0</v>
      </c>
      <c r="BV48" s="19">
        <v>0</v>
      </c>
      <c r="BW48" s="19">
        <v>1</v>
      </c>
      <c r="BX48" s="19">
        <v>0</v>
      </c>
      <c r="BY48" s="19">
        <v>0</v>
      </c>
      <c r="BZ48" s="19">
        <v>1</v>
      </c>
      <c r="CA48" s="19">
        <v>1</v>
      </c>
      <c r="CB48" s="19">
        <v>0</v>
      </c>
      <c r="CC48" s="19">
        <v>1</v>
      </c>
      <c r="CD48" s="19">
        <v>1</v>
      </c>
      <c r="CE48" s="19">
        <v>0</v>
      </c>
      <c r="CF48" s="19">
        <v>0</v>
      </c>
      <c r="CG48" s="19">
        <v>0</v>
      </c>
      <c r="CH48" s="19">
        <v>1</v>
      </c>
      <c r="CI48" s="19">
        <v>1</v>
      </c>
      <c r="CJ48" s="19">
        <v>1</v>
      </c>
      <c r="CK48" s="19">
        <v>1</v>
      </c>
      <c r="CL48" s="19">
        <v>1</v>
      </c>
      <c r="CM48" s="19">
        <v>1</v>
      </c>
      <c r="CN48" s="19">
        <v>1</v>
      </c>
      <c r="CO48" s="19">
        <v>0</v>
      </c>
      <c r="CP48" s="19">
        <v>1</v>
      </c>
      <c r="CQ48" s="19">
        <v>1</v>
      </c>
      <c r="CR48" s="19">
        <v>1</v>
      </c>
      <c r="CS48" s="19">
        <v>1</v>
      </c>
      <c r="CT48" s="19">
        <v>1</v>
      </c>
      <c r="CU48" s="19">
        <v>1</v>
      </c>
      <c r="CV48" s="19">
        <v>0</v>
      </c>
      <c r="CW48" s="19">
        <v>1</v>
      </c>
      <c r="CX48" s="19">
        <v>0</v>
      </c>
      <c r="CY48" s="19">
        <v>1</v>
      </c>
      <c r="CZ48" s="19">
        <v>0</v>
      </c>
      <c r="DA48" s="19">
        <v>0</v>
      </c>
      <c r="DB48" s="19">
        <v>0</v>
      </c>
      <c r="DC48" s="19">
        <v>1</v>
      </c>
      <c r="DD48" s="19">
        <v>1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21">
        <v>30509</v>
      </c>
      <c r="DK48" s="19">
        <v>1958215093</v>
      </c>
      <c r="DL48" s="19">
        <v>1772569526</v>
      </c>
      <c r="DM48" s="19">
        <v>37800</v>
      </c>
      <c r="DN48" s="19">
        <v>6645270</v>
      </c>
      <c r="DO48" s="19">
        <v>10144515</v>
      </c>
      <c r="DP48" s="19">
        <v>138259430</v>
      </c>
      <c r="DQ48" s="19">
        <v>9823003</v>
      </c>
      <c r="DR48" s="19">
        <v>18243690</v>
      </c>
      <c r="DS48" s="19">
        <v>2491859</v>
      </c>
      <c r="DT48" s="22">
        <v>0.28999999999999998</v>
      </c>
    </row>
    <row r="49" spans="1:124" x14ac:dyDescent="0.35">
      <c r="A49" s="19" t="s">
        <v>163</v>
      </c>
      <c r="B49" s="19" t="s">
        <v>172</v>
      </c>
      <c r="C49" s="19">
        <v>5356033.2895662542</v>
      </c>
      <c r="D49" s="19">
        <v>856965.32633060066</v>
      </c>
      <c r="E49" s="20">
        <v>32855213</v>
      </c>
      <c r="F49" s="19">
        <v>8299</v>
      </c>
      <c r="G49" s="19">
        <v>100541</v>
      </c>
      <c r="H49" s="19">
        <v>1566</v>
      </c>
      <c r="I49" s="19">
        <v>31935703</v>
      </c>
      <c r="J49" s="19">
        <v>1625</v>
      </c>
      <c r="K49" s="19">
        <v>27915</v>
      </c>
      <c r="L49" s="19">
        <v>3666</v>
      </c>
      <c r="M49" s="19">
        <v>90401</v>
      </c>
      <c r="N49" s="19">
        <v>35194</v>
      </c>
      <c r="O49" s="19">
        <v>70</v>
      </c>
      <c r="P49" s="19">
        <v>5376</v>
      </c>
      <c r="Q49" s="19">
        <v>0</v>
      </c>
      <c r="R49" s="19">
        <v>254</v>
      </c>
      <c r="S49" s="19">
        <v>2692</v>
      </c>
      <c r="T49" s="19">
        <v>71240</v>
      </c>
      <c r="U49" s="19">
        <v>428850</v>
      </c>
      <c r="V49" s="19">
        <v>1047</v>
      </c>
      <c r="W49" s="19">
        <v>2631</v>
      </c>
      <c r="X49" s="19">
        <v>240</v>
      </c>
      <c r="Y49" s="19">
        <v>33681</v>
      </c>
      <c r="Z49" s="19">
        <v>81762</v>
      </c>
      <c r="AA49" s="19">
        <v>559</v>
      </c>
      <c r="AB49" s="19">
        <v>170</v>
      </c>
      <c r="AC49" s="19">
        <v>21731</v>
      </c>
      <c r="AD49" s="19">
        <v>418430.6915384616</v>
      </c>
      <c r="AE49" s="19">
        <v>319357.03000000003</v>
      </c>
      <c r="AF49" s="19">
        <v>18080.2</v>
      </c>
      <c r="AG49" s="19">
        <v>47376</v>
      </c>
      <c r="AH49" s="19">
        <v>32988.461538461539</v>
      </c>
      <c r="AI49" s="19">
        <v>70</v>
      </c>
      <c r="AJ49" s="19">
        <v>559</v>
      </c>
      <c r="AK49" s="19">
        <v>461954</v>
      </c>
      <c r="AL49" s="19">
        <v>266130</v>
      </c>
      <c r="AM49" s="19">
        <v>19358</v>
      </c>
      <c r="AN49" s="19">
        <v>126605</v>
      </c>
      <c r="AO49" s="19">
        <v>44005</v>
      </c>
      <c r="AP49" s="19">
        <v>5590</v>
      </c>
      <c r="AQ49" s="19">
        <v>266</v>
      </c>
      <c r="AR49" s="19">
        <v>223133</v>
      </c>
      <c r="AS49" s="19">
        <v>47376</v>
      </c>
      <c r="AT49" s="19">
        <v>43590</v>
      </c>
      <c r="AU49" s="19">
        <v>17811.2</v>
      </c>
      <c r="AV49" s="19">
        <v>1776</v>
      </c>
      <c r="AW49" s="19">
        <v>93135</v>
      </c>
      <c r="AX49" s="19">
        <v>18808</v>
      </c>
      <c r="AY49" s="19">
        <v>0</v>
      </c>
      <c r="AZ49" s="19">
        <v>87</v>
      </c>
      <c r="BA49" s="19">
        <v>121</v>
      </c>
      <c r="BB49" s="19">
        <v>2</v>
      </c>
      <c r="BC49" s="19">
        <v>11</v>
      </c>
      <c r="BD49" s="19">
        <v>221</v>
      </c>
      <c r="BE49" s="19">
        <v>0</v>
      </c>
      <c r="BF49" s="19">
        <v>120</v>
      </c>
      <c r="BG49" s="19">
        <v>5</v>
      </c>
      <c r="BH49" s="19">
        <v>1728</v>
      </c>
      <c r="BI49" s="19">
        <v>1612</v>
      </c>
      <c r="BJ49" s="19">
        <v>0</v>
      </c>
      <c r="BK49" s="19">
        <v>0</v>
      </c>
      <c r="BL49" s="19">
        <v>29693</v>
      </c>
      <c r="BM49" s="19">
        <v>1534</v>
      </c>
      <c r="BN49" s="19">
        <v>260</v>
      </c>
      <c r="BO49" s="19">
        <v>13184</v>
      </c>
      <c r="BP49" s="19">
        <v>0</v>
      </c>
      <c r="BQ49" s="19">
        <v>0</v>
      </c>
      <c r="BR49" s="19">
        <v>1</v>
      </c>
      <c r="BS49" s="19">
        <v>0</v>
      </c>
      <c r="BT49" s="19">
        <v>0</v>
      </c>
      <c r="BU49" s="19">
        <v>0</v>
      </c>
      <c r="BV49" s="19">
        <v>0</v>
      </c>
      <c r="BW49" s="19">
        <v>1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0</v>
      </c>
      <c r="CN49" s="19">
        <v>0</v>
      </c>
      <c r="CO49" s="19">
        <v>0</v>
      </c>
      <c r="CP49" s="19">
        <v>1</v>
      </c>
      <c r="CQ49" s="19">
        <v>1</v>
      </c>
      <c r="CR49" s="19">
        <v>1</v>
      </c>
      <c r="CS49" s="19">
        <v>1</v>
      </c>
      <c r="CT49" s="19">
        <v>1</v>
      </c>
      <c r="CU49" s="19">
        <v>1</v>
      </c>
      <c r="CV49" s="19">
        <v>0</v>
      </c>
      <c r="CW49" s="19">
        <v>1</v>
      </c>
      <c r="CX49" s="19">
        <v>0</v>
      </c>
      <c r="CY49" s="19">
        <v>0</v>
      </c>
      <c r="CZ49" s="19">
        <v>0</v>
      </c>
      <c r="DA49" s="19">
        <v>0</v>
      </c>
      <c r="DB49" s="19">
        <v>0</v>
      </c>
      <c r="DC49" s="19">
        <v>0</v>
      </c>
      <c r="DD49" s="19">
        <v>0</v>
      </c>
      <c r="DE49" s="19">
        <v>0</v>
      </c>
      <c r="DF49" s="19">
        <v>0</v>
      </c>
      <c r="DG49" s="19">
        <v>0</v>
      </c>
      <c r="DH49" s="19">
        <v>0</v>
      </c>
      <c r="DI49" s="19">
        <v>0</v>
      </c>
      <c r="DJ49" s="21">
        <v>30713</v>
      </c>
      <c r="DK49" s="19">
        <v>494035547</v>
      </c>
      <c r="DL49" s="19">
        <v>386583769</v>
      </c>
      <c r="DM49" s="19">
        <v>14000</v>
      </c>
      <c r="DN49" s="19">
        <v>9884210</v>
      </c>
      <c r="DO49" s="19">
        <v>4574388</v>
      </c>
      <c r="DP49" s="19">
        <v>72424669</v>
      </c>
      <c r="DQ49" s="19">
        <v>7590859</v>
      </c>
      <c r="DR49" s="19">
        <v>10781593</v>
      </c>
      <c r="DS49" s="19">
        <v>2182059</v>
      </c>
      <c r="DT49" s="22">
        <v>0.32</v>
      </c>
    </row>
    <row r="50" spans="1:124" x14ac:dyDescent="0.35">
      <c r="A50" s="19" t="s">
        <v>163</v>
      </c>
      <c r="B50" s="19" t="s">
        <v>173</v>
      </c>
      <c r="C50" s="19">
        <v>3471990.7649453906</v>
      </c>
      <c r="D50" s="19">
        <v>555518.52239126246</v>
      </c>
      <c r="E50" s="20">
        <v>9267772</v>
      </c>
      <c r="F50" s="19">
        <v>4983</v>
      </c>
      <c r="G50" s="19">
        <v>54346</v>
      </c>
      <c r="H50" s="19">
        <v>1381</v>
      </c>
      <c r="I50" s="19">
        <v>8650504</v>
      </c>
      <c r="J50" s="19">
        <v>307</v>
      </c>
      <c r="K50" s="19">
        <v>23595</v>
      </c>
      <c r="L50" s="19">
        <v>2212</v>
      </c>
      <c r="M50" s="19">
        <v>50219</v>
      </c>
      <c r="N50" s="19">
        <v>21358</v>
      </c>
      <c r="O50" s="19">
        <v>10</v>
      </c>
      <c r="P50" s="19">
        <v>2429</v>
      </c>
      <c r="Q50" s="19">
        <v>0</v>
      </c>
      <c r="R50" s="19">
        <v>227</v>
      </c>
      <c r="S50" s="19">
        <v>897</v>
      </c>
      <c r="T50" s="19">
        <v>55840</v>
      </c>
      <c r="U50" s="19">
        <v>314525</v>
      </c>
      <c r="V50" s="19">
        <v>315</v>
      </c>
      <c r="W50" s="19">
        <v>408</v>
      </c>
      <c r="X50" s="19">
        <v>130</v>
      </c>
      <c r="Y50" s="19">
        <v>26376</v>
      </c>
      <c r="Z50" s="19">
        <v>38653</v>
      </c>
      <c r="AA50" s="19">
        <v>24</v>
      </c>
      <c r="AB50" s="19">
        <v>1130</v>
      </c>
      <c r="AC50" s="19">
        <v>17903</v>
      </c>
      <c r="AD50" s="19">
        <v>148433.07076923078</v>
      </c>
      <c r="AE50" s="19">
        <v>86505.04</v>
      </c>
      <c r="AF50" s="19">
        <v>10043.799999999999</v>
      </c>
      <c r="AG50" s="19">
        <v>27656</v>
      </c>
      <c r="AH50" s="19">
        <v>24194.23076923077</v>
      </c>
      <c r="AI50" s="19">
        <v>10</v>
      </c>
      <c r="AJ50" s="19">
        <v>24</v>
      </c>
      <c r="AK50" s="19">
        <v>191275</v>
      </c>
      <c r="AL50" s="19">
        <v>72086</v>
      </c>
      <c r="AM50" s="19">
        <v>10222</v>
      </c>
      <c r="AN50" s="19">
        <v>78687</v>
      </c>
      <c r="AO50" s="19">
        <v>30002</v>
      </c>
      <c r="AP50" s="19">
        <v>240</v>
      </c>
      <c r="AQ50" s="19">
        <v>38</v>
      </c>
      <c r="AR50" s="19">
        <v>138692</v>
      </c>
      <c r="AS50" s="19">
        <v>27656</v>
      </c>
      <c r="AT50" s="19">
        <v>24810</v>
      </c>
      <c r="AU50" s="19">
        <v>25996.100000000013</v>
      </c>
      <c r="AV50" s="19">
        <v>338</v>
      </c>
      <c r="AW50" s="19">
        <v>60270</v>
      </c>
      <c r="AX50" s="19">
        <v>27746</v>
      </c>
      <c r="AY50" s="19">
        <v>11050.580159736743</v>
      </c>
      <c r="AZ50" s="19">
        <v>307</v>
      </c>
      <c r="BA50" s="19">
        <v>94</v>
      </c>
      <c r="BB50" s="19">
        <v>3</v>
      </c>
      <c r="BC50" s="19">
        <v>13</v>
      </c>
      <c r="BD50" s="19">
        <v>417</v>
      </c>
      <c r="BE50" s="19">
        <v>195</v>
      </c>
      <c r="BF50" s="19">
        <v>29</v>
      </c>
      <c r="BG50" s="19">
        <v>2</v>
      </c>
      <c r="BH50" s="19">
        <v>1078</v>
      </c>
      <c r="BI50" s="19">
        <v>473</v>
      </c>
      <c r="BJ50" s="19">
        <v>42</v>
      </c>
      <c r="BK50" s="19">
        <v>181</v>
      </c>
      <c r="BL50" s="19">
        <v>20022</v>
      </c>
      <c r="BM50" s="19">
        <v>883</v>
      </c>
      <c r="BN50" s="19">
        <v>119</v>
      </c>
      <c r="BO50" s="19">
        <v>6649</v>
      </c>
      <c r="BP50" s="19">
        <v>0</v>
      </c>
      <c r="BQ50" s="19">
        <v>0</v>
      </c>
      <c r="BR50" s="19">
        <v>1</v>
      </c>
      <c r="BS50" s="19">
        <v>0</v>
      </c>
      <c r="BT50" s="19">
        <v>0</v>
      </c>
      <c r="BU50" s="19">
        <v>0</v>
      </c>
      <c r="BV50" s="19">
        <v>0</v>
      </c>
      <c r="BW50" s="19">
        <v>1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1</v>
      </c>
      <c r="CI50" s="19">
        <v>1</v>
      </c>
      <c r="CJ50" s="19">
        <v>1</v>
      </c>
      <c r="CK50" s="19">
        <v>1</v>
      </c>
      <c r="CL50" s="19">
        <v>1</v>
      </c>
      <c r="CM50" s="19">
        <v>1</v>
      </c>
      <c r="CN50" s="19">
        <v>1</v>
      </c>
      <c r="CO50" s="19">
        <v>0</v>
      </c>
      <c r="CP50" s="19">
        <v>1</v>
      </c>
      <c r="CQ50" s="19">
        <v>1</v>
      </c>
      <c r="CR50" s="19">
        <v>1</v>
      </c>
      <c r="CS50" s="19">
        <v>1</v>
      </c>
      <c r="CT50" s="19">
        <v>1</v>
      </c>
      <c r="CU50" s="19">
        <v>1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21">
        <v>30716</v>
      </c>
      <c r="DK50" s="19">
        <v>180918073</v>
      </c>
      <c r="DL50" s="19">
        <v>108614444</v>
      </c>
      <c r="DM50" s="19">
        <v>2000</v>
      </c>
      <c r="DN50" s="19">
        <v>5271013</v>
      </c>
      <c r="DO50" s="19">
        <v>2208244</v>
      </c>
      <c r="DP50" s="19">
        <v>51488365</v>
      </c>
      <c r="DQ50" s="19">
        <v>4571595</v>
      </c>
      <c r="DR50" s="19">
        <v>7593343</v>
      </c>
      <c r="DS50" s="19">
        <v>1169069</v>
      </c>
      <c r="DT50" s="22">
        <v>0.32</v>
      </c>
    </row>
    <row r="51" spans="1:124" x14ac:dyDescent="0.35">
      <c r="A51" s="19" t="s">
        <v>163</v>
      </c>
      <c r="B51" s="19" t="s">
        <v>174</v>
      </c>
      <c r="C51" s="19">
        <v>1423478.736887845</v>
      </c>
      <c r="D51" s="19">
        <v>227756.59790205519</v>
      </c>
      <c r="E51" s="20">
        <v>1267045</v>
      </c>
      <c r="F51" s="19">
        <v>500</v>
      </c>
      <c r="G51" s="19">
        <v>1176</v>
      </c>
      <c r="H51" s="19">
        <v>199</v>
      </c>
      <c r="I51" s="19">
        <v>1135017</v>
      </c>
      <c r="J51" s="19">
        <v>43</v>
      </c>
      <c r="K51" s="19">
        <v>4332</v>
      </c>
      <c r="L51" s="19">
        <v>784</v>
      </c>
      <c r="M51" s="19">
        <v>12158</v>
      </c>
      <c r="N51" s="19">
        <v>2436</v>
      </c>
      <c r="O51" s="19">
        <v>0</v>
      </c>
      <c r="P51" s="19">
        <v>273</v>
      </c>
      <c r="Q51" s="19">
        <v>0</v>
      </c>
      <c r="R51" s="19">
        <v>23</v>
      </c>
      <c r="S51" s="19">
        <v>87</v>
      </c>
      <c r="T51" s="19">
        <v>3820</v>
      </c>
      <c r="U51" s="19">
        <v>90469</v>
      </c>
      <c r="V51" s="19">
        <v>20</v>
      </c>
      <c r="W51" s="19">
        <v>490</v>
      </c>
      <c r="X51" s="19">
        <v>115</v>
      </c>
      <c r="Y51" s="19">
        <v>3859</v>
      </c>
      <c r="Z51" s="19">
        <v>10049</v>
      </c>
      <c r="AA51" s="19">
        <v>81</v>
      </c>
      <c r="AB51" s="19">
        <v>0</v>
      </c>
      <c r="AC51" s="19">
        <v>1114</v>
      </c>
      <c r="AD51" s="19">
        <v>25996.923846153848</v>
      </c>
      <c r="AE51" s="19">
        <v>11350.17</v>
      </c>
      <c r="AF51" s="19">
        <v>2431.6</v>
      </c>
      <c r="AG51" s="19">
        <v>5175</v>
      </c>
      <c r="AH51" s="19">
        <v>6959.1538461538457</v>
      </c>
      <c r="AI51" s="19">
        <v>0</v>
      </c>
      <c r="AJ51" s="19">
        <v>81</v>
      </c>
      <c r="AK51" s="19">
        <v>28393</v>
      </c>
      <c r="AL51" s="19">
        <v>9459</v>
      </c>
      <c r="AM51" s="19">
        <v>2550</v>
      </c>
      <c r="AN51" s="19">
        <v>8458</v>
      </c>
      <c r="AO51" s="19">
        <v>7116</v>
      </c>
      <c r="AP51" s="19">
        <v>810</v>
      </c>
      <c r="AQ51" s="19">
        <v>0</v>
      </c>
      <c r="AR51" s="19">
        <v>33776</v>
      </c>
      <c r="AS51" s="19">
        <v>5175</v>
      </c>
      <c r="AT51" s="19">
        <v>5668</v>
      </c>
      <c r="AU51" s="19">
        <v>858.7</v>
      </c>
      <c r="AV51" s="19">
        <v>33</v>
      </c>
      <c r="AW51" s="19">
        <v>17425</v>
      </c>
      <c r="AX51" s="19">
        <v>895</v>
      </c>
      <c r="AY51" s="19">
        <v>0</v>
      </c>
      <c r="AZ51" s="19">
        <v>25</v>
      </c>
      <c r="BA51" s="19">
        <v>27</v>
      </c>
      <c r="BB51" s="19">
        <v>0</v>
      </c>
      <c r="BC51" s="19">
        <v>0</v>
      </c>
      <c r="BD51" s="19">
        <v>52</v>
      </c>
      <c r="BE51" s="19">
        <v>0</v>
      </c>
      <c r="BF51" s="19">
        <v>0</v>
      </c>
      <c r="BG51" s="19">
        <v>0</v>
      </c>
      <c r="BH51" s="19">
        <v>366</v>
      </c>
      <c r="BI51" s="19">
        <v>35</v>
      </c>
      <c r="BJ51" s="19">
        <v>0</v>
      </c>
      <c r="BK51" s="19">
        <v>0</v>
      </c>
      <c r="BL51" s="19">
        <v>4789</v>
      </c>
      <c r="BM51" s="19">
        <v>241</v>
      </c>
      <c r="BN51" s="19">
        <v>15</v>
      </c>
      <c r="BO51" s="19">
        <v>1382</v>
      </c>
      <c r="BP51" s="19">
        <v>0</v>
      </c>
      <c r="BQ51" s="19">
        <v>0</v>
      </c>
      <c r="BR51" s="19">
        <v>1</v>
      </c>
      <c r="BS51" s="19">
        <v>0</v>
      </c>
      <c r="BT51" s="19">
        <v>0</v>
      </c>
      <c r="BU51" s="19">
        <v>0</v>
      </c>
      <c r="BV51" s="19">
        <v>0</v>
      </c>
      <c r="BW51" s="19">
        <v>1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1</v>
      </c>
      <c r="CQ51" s="19">
        <v>1</v>
      </c>
      <c r="CR51" s="19">
        <v>1</v>
      </c>
      <c r="CS51" s="19">
        <v>1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  <c r="CZ51" s="19">
        <v>0</v>
      </c>
      <c r="DA51" s="19">
        <v>0</v>
      </c>
      <c r="DB51" s="19">
        <v>0</v>
      </c>
      <c r="DC51" s="19">
        <v>0</v>
      </c>
      <c r="DD51" s="19">
        <v>0</v>
      </c>
      <c r="DE51" s="19">
        <v>0</v>
      </c>
      <c r="DF51" s="19">
        <v>0</v>
      </c>
      <c r="DG51" s="19">
        <v>0</v>
      </c>
      <c r="DH51" s="19">
        <v>0</v>
      </c>
      <c r="DI51" s="19">
        <v>0</v>
      </c>
      <c r="DJ51" s="21">
        <v>30714</v>
      </c>
      <c r="DK51" s="19">
        <v>27901895</v>
      </c>
      <c r="DL51" s="19">
        <v>12371999</v>
      </c>
      <c r="DM51" s="19">
        <v>0</v>
      </c>
      <c r="DN51" s="19">
        <v>1356179</v>
      </c>
      <c r="DO51" s="19">
        <v>311105</v>
      </c>
      <c r="DP51" s="19">
        <v>11476494</v>
      </c>
      <c r="DQ51" s="19">
        <v>378636</v>
      </c>
      <c r="DR51" s="19">
        <v>1983319</v>
      </c>
      <c r="DS51" s="19">
        <v>24163</v>
      </c>
      <c r="DT51" s="22">
        <v>0.28000000000000003</v>
      </c>
    </row>
    <row r="52" spans="1:124" x14ac:dyDescent="0.35">
      <c r="A52" s="19" t="s">
        <v>163</v>
      </c>
      <c r="B52" s="23" t="s">
        <v>175</v>
      </c>
      <c r="C52" s="23">
        <v>1104900</v>
      </c>
      <c r="D52" s="23">
        <f>C52*16/100</f>
        <v>176784</v>
      </c>
      <c r="E52" s="20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36</v>
      </c>
      <c r="BA52" s="19">
        <v>22</v>
      </c>
      <c r="BB52" s="19">
        <v>0</v>
      </c>
      <c r="BC52" s="19">
        <v>0</v>
      </c>
      <c r="BD52" s="19">
        <v>58</v>
      </c>
      <c r="BE52" s="19">
        <v>0</v>
      </c>
      <c r="BF52" s="19">
        <v>0</v>
      </c>
      <c r="BG52" s="19">
        <v>0</v>
      </c>
      <c r="BH52" s="19">
        <v>210</v>
      </c>
      <c r="BI52" s="19">
        <v>58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1</v>
      </c>
      <c r="BS52" s="19">
        <v>0</v>
      </c>
      <c r="BT52" s="19">
        <v>0</v>
      </c>
      <c r="BU52" s="19">
        <v>0</v>
      </c>
      <c r="BV52" s="19">
        <v>0</v>
      </c>
      <c r="BW52" s="19">
        <v>1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1</v>
      </c>
      <c r="CQ52" s="19">
        <v>1</v>
      </c>
      <c r="CR52" s="19">
        <v>1</v>
      </c>
      <c r="CS52" s="19">
        <v>1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  <c r="DH52" s="19">
        <v>0</v>
      </c>
      <c r="DI52" s="19">
        <v>0</v>
      </c>
      <c r="DJ52" s="24">
        <v>307142</v>
      </c>
      <c r="DK52" s="19">
        <v>0</v>
      </c>
      <c r="DL52" s="19">
        <v>0</v>
      </c>
      <c r="DM52" s="19">
        <v>0</v>
      </c>
      <c r="DN52" s="19">
        <v>0</v>
      </c>
      <c r="DO52" s="19">
        <v>0</v>
      </c>
      <c r="DP52" s="19">
        <v>0</v>
      </c>
      <c r="DQ52" s="19">
        <v>0</v>
      </c>
      <c r="DR52" s="19">
        <v>0</v>
      </c>
      <c r="DS52" s="19">
        <v>0</v>
      </c>
      <c r="DT52" s="22">
        <v>0.28000000000000003</v>
      </c>
    </row>
    <row r="53" spans="1:124" x14ac:dyDescent="0.35">
      <c r="A53" s="19" t="s">
        <v>163</v>
      </c>
      <c r="B53" s="19" t="s">
        <v>176</v>
      </c>
      <c r="C53" s="19">
        <v>3306191.5112891234</v>
      </c>
      <c r="D53" s="19">
        <v>528990.64180625975</v>
      </c>
      <c r="E53" s="20">
        <v>7189894</v>
      </c>
      <c r="F53" s="19">
        <v>3986</v>
      </c>
      <c r="G53" s="19">
        <v>35716</v>
      </c>
      <c r="H53" s="19">
        <v>252</v>
      </c>
      <c r="I53" s="19">
        <v>6681201</v>
      </c>
      <c r="J53" s="19">
        <v>390</v>
      </c>
      <c r="K53" s="19">
        <v>21345</v>
      </c>
      <c r="L53" s="19">
        <v>1875</v>
      </c>
      <c r="M53" s="19">
        <v>70872</v>
      </c>
      <c r="N53" s="19">
        <v>35189</v>
      </c>
      <c r="O53" s="19">
        <v>33</v>
      </c>
      <c r="P53" s="19">
        <v>1623</v>
      </c>
      <c r="Q53" s="19">
        <v>0</v>
      </c>
      <c r="R53" s="19">
        <v>398</v>
      </c>
      <c r="S53" s="19">
        <v>938</v>
      </c>
      <c r="T53" s="19">
        <v>31300</v>
      </c>
      <c r="U53" s="19">
        <v>241824</v>
      </c>
      <c r="V53" s="19">
        <v>294</v>
      </c>
      <c r="W53" s="19">
        <v>1843</v>
      </c>
      <c r="X53" s="19">
        <v>749</v>
      </c>
      <c r="Y53" s="19">
        <v>17475</v>
      </c>
      <c r="Z53" s="19">
        <v>28204</v>
      </c>
      <c r="AA53" s="19">
        <v>0</v>
      </c>
      <c r="AB53" s="19">
        <v>2070</v>
      </c>
      <c r="AC53" s="19">
        <v>12317</v>
      </c>
      <c r="AD53" s="19">
        <v>153523.25615384613</v>
      </c>
      <c r="AE53" s="19">
        <v>66812.009999999995</v>
      </c>
      <c r="AF53" s="19">
        <v>14174.4</v>
      </c>
      <c r="AG53" s="19">
        <v>53902</v>
      </c>
      <c r="AH53" s="19">
        <v>18601.846153846152</v>
      </c>
      <c r="AI53" s="19">
        <v>33</v>
      </c>
      <c r="AJ53" s="19">
        <v>0</v>
      </c>
      <c r="AK53" s="19">
        <v>226596</v>
      </c>
      <c r="AL53" s="19">
        <v>55677</v>
      </c>
      <c r="AM53" s="19">
        <v>16351</v>
      </c>
      <c r="AN53" s="19">
        <v>125188</v>
      </c>
      <c r="AO53" s="19">
        <v>29255</v>
      </c>
      <c r="AP53" s="19">
        <v>0</v>
      </c>
      <c r="AQ53" s="19">
        <v>125</v>
      </c>
      <c r="AR53" s="19">
        <v>177571</v>
      </c>
      <c r="AS53" s="19">
        <v>53902</v>
      </c>
      <c r="AT53" s="19">
        <v>30673</v>
      </c>
      <c r="AU53" s="19">
        <v>15102.399999999998</v>
      </c>
      <c r="AV53" s="19">
        <v>3174</v>
      </c>
      <c r="AW53" s="19">
        <v>76570</v>
      </c>
      <c r="AX53" s="19">
        <v>15167</v>
      </c>
      <c r="AY53" s="19">
        <v>0</v>
      </c>
      <c r="AZ53" s="19">
        <v>57</v>
      </c>
      <c r="BA53" s="19">
        <v>201</v>
      </c>
      <c r="BB53" s="19">
        <v>1</v>
      </c>
      <c r="BC53" s="19">
        <v>11</v>
      </c>
      <c r="BD53" s="19">
        <v>270</v>
      </c>
      <c r="BE53" s="19">
        <v>0</v>
      </c>
      <c r="BF53" s="19">
        <v>40</v>
      </c>
      <c r="BG53" s="19">
        <v>1</v>
      </c>
      <c r="BH53" s="19">
        <v>837</v>
      </c>
      <c r="BI53" s="19">
        <v>1161</v>
      </c>
      <c r="BJ53" s="19">
        <v>260</v>
      </c>
      <c r="BK53" s="19">
        <v>531</v>
      </c>
      <c r="BL53" s="19">
        <v>63175</v>
      </c>
      <c r="BM53" s="19">
        <v>4635</v>
      </c>
      <c r="BN53" s="19">
        <v>406</v>
      </c>
      <c r="BO53" s="19">
        <v>20957</v>
      </c>
      <c r="BP53" s="19">
        <v>0</v>
      </c>
      <c r="BQ53" s="19">
        <v>0</v>
      </c>
      <c r="BR53" s="19">
        <v>1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1</v>
      </c>
      <c r="CA53" s="19">
        <v>1</v>
      </c>
      <c r="CB53" s="19">
        <v>0</v>
      </c>
      <c r="CC53" s="19">
        <v>1</v>
      </c>
      <c r="CD53" s="19">
        <v>1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1</v>
      </c>
      <c r="CQ53" s="19">
        <v>1</v>
      </c>
      <c r="CR53" s="19">
        <v>1</v>
      </c>
      <c r="CS53" s="19">
        <v>1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  <c r="DH53" s="19">
        <v>0</v>
      </c>
      <c r="DI53" s="19">
        <v>1</v>
      </c>
      <c r="DJ53" s="21">
        <v>30510</v>
      </c>
      <c r="DK53" s="19">
        <v>137852953</v>
      </c>
      <c r="DL53" s="19">
        <v>69640804</v>
      </c>
      <c r="DM53" s="19">
        <v>6600</v>
      </c>
      <c r="DN53" s="19">
        <v>8961503</v>
      </c>
      <c r="DO53" s="19">
        <v>4320405</v>
      </c>
      <c r="DP53" s="19">
        <v>44237502</v>
      </c>
      <c r="DQ53" s="19">
        <v>3431917</v>
      </c>
      <c r="DR53" s="19">
        <v>6493124</v>
      </c>
      <c r="DS53" s="19">
        <v>761098</v>
      </c>
      <c r="DT53" s="22">
        <v>0.25</v>
      </c>
    </row>
    <row r="54" spans="1:124" x14ac:dyDescent="0.35">
      <c r="A54" s="19" t="s">
        <v>163</v>
      </c>
      <c r="B54" s="19" t="s">
        <v>177</v>
      </c>
      <c r="C54" s="19">
        <v>1490774.0198983133</v>
      </c>
      <c r="D54" s="19">
        <v>238523.84318373015</v>
      </c>
      <c r="E54" s="20">
        <v>6005033</v>
      </c>
      <c r="F54" s="19">
        <v>1291</v>
      </c>
      <c r="G54" s="19">
        <v>29325</v>
      </c>
      <c r="H54" s="19">
        <v>384</v>
      </c>
      <c r="I54" s="19">
        <v>5714510</v>
      </c>
      <c r="J54" s="19">
        <v>127</v>
      </c>
      <c r="K54" s="19">
        <v>12573</v>
      </c>
      <c r="L54" s="19">
        <v>882</v>
      </c>
      <c r="M54" s="19">
        <v>34164</v>
      </c>
      <c r="N54" s="19">
        <v>9344</v>
      </c>
      <c r="O54" s="19">
        <v>5</v>
      </c>
      <c r="P54" s="19">
        <v>649</v>
      </c>
      <c r="Q54" s="19">
        <v>0</v>
      </c>
      <c r="R54" s="19">
        <v>151</v>
      </c>
      <c r="S54" s="19">
        <v>319</v>
      </c>
      <c r="T54" s="19">
        <v>16220</v>
      </c>
      <c r="U54" s="19">
        <v>136474</v>
      </c>
      <c r="V54" s="19">
        <v>145</v>
      </c>
      <c r="W54" s="19">
        <v>1358</v>
      </c>
      <c r="X54" s="19">
        <v>709</v>
      </c>
      <c r="Y54" s="19">
        <v>19070</v>
      </c>
      <c r="Z54" s="19">
        <v>23207</v>
      </c>
      <c r="AA54" s="19">
        <v>47</v>
      </c>
      <c r="AB54" s="19">
        <v>100</v>
      </c>
      <c r="AC54" s="19">
        <v>3979</v>
      </c>
      <c r="AD54" s="19">
        <v>87762.9</v>
      </c>
      <c r="AE54" s="19">
        <v>57145.1</v>
      </c>
      <c r="AF54" s="19">
        <v>6832.8</v>
      </c>
      <c r="AG54" s="19">
        <v>13235</v>
      </c>
      <c r="AH54" s="19">
        <v>10498</v>
      </c>
      <c r="AI54" s="19">
        <v>5</v>
      </c>
      <c r="AJ54" s="19">
        <v>47</v>
      </c>
      <c r="AK54" s="19">
        <v>104640</v>
      </c>
      <c r="AL54" s="19">
        <v>47620</v>
      </c>
      <c r="AM54" s="19">
        <v>7754</v>
      </c>
      <c r="AN54" s="19">
        <v>34304</v>
      </c>
      <c r="AO54" s="19">
        <v>14473</v>
      </c>
      <c r="AP54" s="19">
        <v>470</v>
      </c>
      <c r="AQ54" s="19">
        <v>19</v>
      </c>
      <c r="AR54" s="19">
        <v>73296</v>
      </c>
      <c r="AS54" s="19">
        <v>13235</v>
      </c>
      <c r="AT54" s="19">
        <v>20558</v>
      </c>
      <c r="AU54" s="19">
        <v>6712.7999999999993</v>
      </c>
      <c r="AV54" s="19">
        <v>259</v>
      </c>
      <c r="AW54" s="19">
        <v>28776</v>
      </c>
      <c r="AX54" s="19">
        <v>6892</v>
      </c>
      <c r="AY54" s="19">
        <v>0</v>
      </c>
      <c r="AZ54" s="19">
        <v>108</v>
      </c>
      <c r="BA54" s="19">
        <v>39</v>
      </c>
      <c r="BB54" s="19">
        <v>1</v>
      </c>
      <c r="BC54" s="19">
        <v>3</v>
      </c>
      <c r="BD54" s="19">
        <v>151</v>
      </c>
      <c r="BE54" s="19">
        <v>0</v>
      </c>
      <c r="BF54" s="19">
        <v>0</v>
      </c>
      <c r="BG54" s="19">
        <v>0</v>
      </c>
      <c r="BH54" s="19">
        <v>456</v>
      </c>
      <c r="BI54" s="19">
        <v>452</v>
      </c>
      <c r="BJ54" s="19">
        <v>0</v>
      </c>
      <c r="BK54" s="19">
        <v>0</v>
      </c>
      <c r="BL54" s="19">
        <v>264</v>
      </c>
      <c r="BM54" s="19">
        <v>17</v>
      </c>
      <c r="BN54" s="19">
        <v>0</v>
      </c>
      <c r="BO54" s="19">
        <v>41</v>
      </c>
      <c r="BP54" s="19">
        <v>1</v>
      </c>
      <c r="BQ54" s="19">
        <v>1</v>
      </c>
      <c r="BR54" s="19">
        <v>1</v>
      </c>
      <c r="BS54" s="19">
        <v>0</v>
      </c>
      <c r="BT54" s="19">
        <v>0</v>
      </c>
      <c r="BU54" s="19">
        <v>0</v>
      </c>
      <c r="BV54" s="19">
        <v>0</v>
      </c>
      <c r="BW54" s="19">
        <v>1</v>
      </c>
      <c r="BX54" s="19">
        <v>0</v>
      </c>
      <c r="BY54" s="19">
        <v>0</v>
      </c>
      <c r="BZ54" s="19">
        <v>0</v>
      </c>
      <c r="CA54" s="19">
        <v>0</v>
      </c>
      <c r="CB54" s="19">
        <v>0</v>
      </c>
      <c r="CC54" s="19">
        <v>0</v>
      </c>
      <c r="CD54" s="19">
        <v>0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19">
        <v>0</v>
      </c>
      <c r="CM54" s="19">
        <v>0</v>
      </c>
      <c r="CN54" s="19">
        <v>0</v>
      </c>
      <c r="CO54" s="19">
        <v>0</v>
      </c>
      <c r="CP54" s="19">
        <v>1</v>
      </c>
      <c r="CQ54" s="19">
        <v>1</v>
      </c>
      <c r="CR54" s="19">
        <v>1</v>
      </c>
      <c r="CS54" s="19">
        <v>1</v>
      </c>
      <c r="CT54" s="19">
        <v>0</v>
      </c>
      <c r="CU54" s="19">
        <v>0</v>
      </c>
      <c r="CV54" s="19">
        <v>0</v>
      </c>
      <c r="CW54" s="19">
        <v>0</v>
      </c>
      <c r="CX54" s="19">
        <v>0</v>
      </c>
      <c r="CY54" s="19">
        <v>0</v>
      </c>
      <c r="CZ54" s="19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19">
        <v>0</v>
      </c>
      <c r="DG54" s="19">
        <v>0</v>
      </c>
      <c r="DH54" s="19">
        <v>0</v>
      </c>
      <c r="DI54" s="19">
        <v>0</v>
      </c>
      <c r="DJ54" s="21">
        <v>30703</v>
      </c>
      <c r="DK54" s="19">
        <v>105526031</v>
      </c>
      <c r="DL54" s="19">
        <v>65305667</v>
      </c>
      <c r="DM54" s="19">
        <v>1000</v>
      </c>
      <c r="DN54" s="19">
        <v>4094256</v>
      </c>
      <c r="DO54" s="19">
        <v>981700</v>
      </c>
      <c r="DP54" s="19">
        <v>29629889</v>
      </c>
      <c r="DQ54" s="19">
        <v>1117918</v>
      </c>
      <c r="DR54" s="19">
        <v>3762518</v>
      </c>
      <c r="DS54" s="19">
        <v>633083</v>
      </c>
      <c r="DT54" s="22">
        <v>0.33</v>
      </c>
    </row>
    <row r="55" spans="1:124" x14ac:dyDescent="0.35">
      <c r="A55" s="19" t="s">
        <v>163</v>
      </c>
      <c r="B55" s="19" t="s">
        <v>178</v>
      </c>
      <c r="C55" s="19">
        <v>4404769.0229922729</v>
      </c>
      <c r="D55" s="19">
        <v>704763.04367876367</v>
      </c>
      <c r="E55" s="20">
        <v>15881564</v>
      </c>
      <c r="F55" s="19">
        <v>2368</v>
      </c>
      <c r="G55" s="19">
        <v>96746</v>
      </c>
      <c r="H55" s="19">
        <v>1109</v>
      </c>
      <c r="I55" s="19">
        <v>15292185</v>
      </c>
      <c r="J55" s="19">
        <v>200</v>
      </c>
      <c r="K55" s="19">
        <v>24512</v>
      </c>
      <c r="L55" s="19">
        <v>1070</v>
      </c>
      <c r="M55" s="19">
        <v>48269</v>
      </c>
      <c r="N55" s="19">
        <v>47323</v>
      </c>
      <c r="O55" s="19">
        <v>0</v>
      </c>
      <c r="P55" s="19">
        <v>968</v>
      </c>
      <c r="Q55" s="19">
        <v>0</v>
      </c>
      <c r="R55" s="19">
        <v>497</v>
      </c>
      <c r="S55" s="19">
        <v>297</v>
      </c>
      <c r="T55" s="19">
        <v>35960</v>
      </c>
      <c r="U55" s="19">
        <v>263087</v>
      </c>
      <c r="V55" s="19">
        <v>104</v>
      </c>
      <c r="W55" s="19">
        <v>1450</v>
      </c>
      <c r="X55" s="19">
        <v>596</v>
      </c>
      <c r="Y55" s="19">
        <v>14882</v>
      </c>
      <c r="Z55" s="19">
        <v>37853</v>
      </c>
      <c r="AA55" s="19">
        <v>17</v>
      </c>
      <c r="AB55" s="19">
        <v>2409</v>
      </c>
      <c r="AC55" s="19">
        <v>9662</v>
      </c>
      <c r="AD55" s="19">
        <v>214911.11153846153</v>
      </c>
      <c r="AE55" s="19">
        <v>152921.85</v>
      </c>
      <c r="AF55" s="19">
        <v>9653.7999999999993</v>
      </c>
      <c r="AG55" s="19">
        <v>32081</v>
      </c>
      <c r="AH55" s="19">
        <v>20237.461538461539</v>
      </c>
      <c r="AI55" s="19">
        <v>0</v>
      </c>
      <c r="AJ55" s="19">
        <v>17</v>
      </c>
      <c r="AK55" s="19">
        <v>324272</v>
      </c>
      <c r="AL55" s="19">
        <v>127435</v>
      </c>
      <c r="AM55" s="19">
        <v>8534</v>
      </c>
      <c r="AN55" s="19">
        <v>161621</v>
      </c>
      <c r="AO55" s="19">
        <v>26512</v>
      </c>
      <c r="AP55" s="19">
        <v>170</v>
      </c>
      <c r="AQ55" s="19">
        <v>0</v>
      </c>
      <c r="AR55" s="19">
        <v>97596</v>
      </c>
      <c r="AS55" s="19">
        <v>32081</v>
      </c>
      <c r="AT55" s="19">
        <v>34553</v>
      </c>
      <c r="AU55" s="19">
        <v>3282.2</v>
      </c>
      <c r="AV55" s="19">
        <v>948</v>
      </c>
      <c r="AW55" s="19">
        <v>40176</v>
      </c>
      <c r="AX55" s="19">
        <v>4230</v>
      </c>
      <c r="AY55" s="19">
        <v>0</v>
      </c>
      <c r="AZ55" s="19">
        <v>78</v>
      </c>
      <c r="BA55" s="19">
        <v>235</v>
      </c>
      <c r="BB55" s="19">
        <v>1</v>
      </c>
      <c r="BC55" s="19">
        <v>22</v>
      </c>
      <c r="BD55" s="19">
        <v>336</v>
      </c>
      <c r="BE55" s="19">
        <v>0</v>
      </c>
      <c r="BF55" s="19">
        <v>57</v>
      </c>
      <c r="BG55" s="19">
        <v>0</v>
      </c>
      <c r="BH55" s="19">
        <v>1050</v>
      </c>
      <c r="BI55" s="19">
        <v>493</v>
      </c>
      <c r="BJ55" s="19">
        <v>57</v>
      </c>
      <c r="BK55" s="19">
        <v>294</v>
      </c>
      <c r="BL55" s="19">
        <v>3792</v>
      </c>
      <c r="BM55" s="19">
        <v>131</v>
      </c>
      <c r="BN55" s="19">
        <v>29</v>
      </c>
      <c r="BO55" s="19">
        <v>1258</v>
      </c>
      <c r="BP55" s="19">
        <v>0</v>
      </c>
      <c r="BQ55" s="19">
        <v>0</v>
      </c>
      <c r="BR55" s="19">
        <v>1</v>
      </c>
      <c r="BS55" s="19">
        <v>1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1</v>
      </c>
      <c r="CA55" s="19">
        <v>1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1</v>
      </c>
      <c r="CQ55" s="19">
        <v>1</v>
      </c>
      <c r="CR55" s="19">
        <v>1</v>
      </c>
      <c r="CS55" s="19">
        <v>1</v>
      </c>
      <c r="CT55" s="19">
        <v>1</v>
      </c>
      <c r="CU55" s="19">
        <v>1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21">
        <v>30620</v>
      </c>
      <c r="DK55" s="19">
        <v>215534764</v>
      </c>
      <c r="DL55" s="19">
        <v>147802699</v>
      </c>
      <c r="DM55" s="19">
        <v>0</v>
      </c>
      <c r="DN55" s="19">
        <v>4598881</v>
      </c>
      <c r="DO55" s="19">
        <v>7172321</v>
      </c>
      <c r="DP55" s="19">
        <v>45025031</v>
      </c>
      <c r="DQ55" s="19">
        <v>2204618</v>
      </c>
      <c r="DR55" s="19">
        <v>6655205</v>
      </c>
      <c r="DS55" s="19">
        <v>2076009</v>
      </c>
      <c r="DT55" s="22">
        <v>0.27</v>
      </c>
    </row>
    <row r="56" spans="1:124" x14ac:dyDescent="0.35">
      <c r="A56" s="19" t="s">
        <v>163</v>
      </c>
      <c r="B56" s="19" t="s">
        <v>179</v>
      </c>
      <c r="C56" s="19">
        <v>3628047.1447300157</v>
      </c>
      <c r="D56" s="19">
        <v>580487.54315680254</v>
      </c>
      <c r="E56" s="20">
        <v>6491280</v>
      </c>
      <c r="F56" s="19">
        <v>1737</v>
      </c>
      <c r="G56" s="19">
        <v>19508</v>
      </c>
      <c r="H56" s="19">
        <v>1682</v>
      </c>
      <c r="I56" s="19">
        <v>6074483</v>
      </c>
      <c r="J56" s="19">
        <v>41</v>
      </c>
      <c r="K56" s="19">
        <v>9485</v>
      </c>
      <c r="L56" s="19">
        <v>190</v>
      </c>
      <c r="M56" s="19">
        <v>46384</v>
      </c>
      <c r="N56" s="19">
        <v>12374</v>
      </c>
      <c r="O56" s="19">
        <v>11</v>
      </c>
      <c r="P56" s="19">
        <v>916</v>
      </c>
      <c r="Q56" s="19">
        <v>0</v>
      </c>
      <c r="R56" s="19">
        <v>61</v>
      </c>
      <c r="S56" s="19">
        <v>440</v>
      </c>
      <c r="T56" s="19">
        <v>20640</v>
      </c>
      <c r="U56" s="19">
        <v>281574</v>
      </c>
      <c r="V56" s="19">
        <v>97</v>
      </c>
      <c r="W56" s="19">
        <v>693</v>
      </c>
      <c r="X56" s="19">
        <v>265</v>
      </c>
      <c r="Y56" s="19">
        <v>4317</v>
      </c>
      <c r="Z56" s="19">
        <v>9469</v>
      </c>
      <c r="AA56" s="19">
        <v>77</v>
      </c>
      <c r="AB56" s="19">
        <v>810</v>
      </c>
      <c r="AC56" s="19">
        <v>6026</v>
      </c>
      <c r="AD56" s="19">
        <v>117823.16846153847</v>
      </c>
      <c r="AE56" s="19">
        <v>60744.83</v>
      </c>
      <c r="AF56" s="19">
        <v>9276.7999999999993</v>
      </c>
      <c r="AG56" s="19">
        <v>26054</v>
      </c>
      <c r="AH56" s="19">
        <v>21659.538461538461</v>
      </c>
      <c r="AI56" s="19">
        <v>11</v>
      </c>
      <c r="AJ56" s="19">
        <v>77</v>
      </c>
      <c r="AK56" s="19">
        <v>124419</v>
      </c>
      <c r="AL56" s="19">
        <v>50620</v>
      </c>
      <c r="AM56" s="19">
        <v>10372</v>
      </c>
      <c r="AN56" s="19">
        <v>44178</v>
      </c>
      <c r="AO56" s="19">
        <v>18437</v>
      </c>
      <c r="AP56" s="19">
        <v>770</v>
      </c>
      <c r="AQ56" s="19">
        <v>42</v>
      </c>
      <c r="AR56" s="19">
        <v>70054</v>
      </c>
      <c r="AS56" s="19">
        <v>26054</v>
      </c>
      <c r="AT56" s="19">
        <v>19691</v>
      </c>
      <c r="AU56" s="19">
        <v>5195.3</v>
      </c>
      <c r="AV56" s="19">
        <v>1912</v>
      </c>
      <c r="AW56" s="19">
        <v>49015</v>
      </c>
      <c r="AX56" s="19">
        <v>5834</v>
      </c>
      <c r="AY56" s="19">
        <v>0</v>
      </c>
      <c r="AZ56" s="19">
        <v>36</v>
      </c>
      <c r="BA56" s="19">
        <v>67</v>
      </c>
      <c r="BB56" s="19">
        <v>4</v>
      </c>
      <c r="BC56" s="19">
        <v>12</v>
      </c>
      <c r="BD56" s="19">
        <v>119</v>
      </c>
      <c r="BE56" s="19">
        <v>0</v>
      </c>
      <c r="BF56" s="19">
        <v>31</v>
      </c>
      <c r="BG56" s="19">
        <v>2</v>
      </c>
      <c r="BH56" s="19">
        <v>1228</v>
      </c>
      <c r="BI56" s="19">
        <v>506</v>
      </c>
      <c r="BJ56" s="19">
        <v>0</v>
      </c>
      <c r="BK56" s="19">
        <v>0</v>
      </c>
      <c r="BL56" s="19">
        <v>13079</v>
      </c>
      <c r="BM56" s="19">
        <v>717</v>
      </c>
      <c r="BN56" s="19">
        <v>119</v>
      </c>
      <c r="BO56" s="19">
        <v>4120</v>
      </c>
      <c r="BP56" s="19">
        <v>0</v>
      </c>
      <c r="BQ56" s="19">
        <v>1</v>
      </c>
      <c r="BR56" s="19">
        <v>1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1</v>
      </c>
      <c r="CA56" s="19">
        <v>1</v>
      </c>
      <c r="CB56" s="19">
        <v>0</v>
      </c>
      <c r="CC56" s="19">
        <v>0</v>
      </c>
      <c r="CD56" s="19">
        <v>0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19">
        <v>0</v>
      </c>
      <c r="CM56" s="19">
        <v>0</v>
      </c>
      <c r="CN56" s="19">
        <v>0</v>
      </c>
      <c r="CO56" s="19">
        <v>0</v>
      </c>
      <c r="CP56" s="19">
        <v>1</v>
      </c>
      <c r="CQ56" s="19">
        <v>1</v>
      </c>
      <c r="CR56" s="19">
        <v>1</v>
      </c>
      <c r="CS56" s="19">
        <v>1</v>
      </c>
      <c r="CT56" s="19">
        <v>1</v>
      </c>
      <c r="CU56" s="19">
        <v>1</v>
      </c>
      <c r="CV56" s="19">
        <v>0</v>
      </c>
      <c r="CW56" s="19">
        <v>1</v>
      </c>
      <c r="CX56" s="19">
        <v>0</v>
      </c>
      <c r="CY56" s="19">
        <v>0</v>
      </c>
      <c r="CZ56" s="19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19">
        <v>0</v>
      </c>
      <c r="DG56" s="19">
        <v>0</v>
      </c>
      <c r="DH56" s="19">
        <v>0</v>
      </c>
      <c r="DI56" s="19">
        <v>0</v>
      </c>
      <c r="DJ56" s="21">
        <v>30429</v>
      </c>
      <c r="DK56" s="19">
        <v>92597863</v>
      </c>
      <c r="DL56" s="19">
        <v>61839233</v>
      </c>
      <c r="DM56" s="19">
        <v>1400</v>
      </c>
      <c r="DN56" s="19">
        <v>6026556</v>
      </c>
      <c r="DO56" s="19">
        <v>1548173</v>
      </c>
      <c r="DP56" s="19">
        <v>15386397</v>
      </c>
      <c r="DQ56" s="19">
        <v>1632248</v>
      </c>
      <c r="DR56" s="19">
        <v>5745032</v>
      </c>
      <c r="DS56" s="19">
        <v>418824</v>
      </c>
      <c r="DT56" s="22">
        <v>0.27</v>
      </c>
    </row>
    <row r="57" spans="1:124" x14ac:dyDescent="0.35">
      <c r="A57" s="19" t="s">
        <v>163</v>
      </c>
      <c r="B57" s="19" t="s">
        <v>180</v>
      </c>
      <c r="C57" s="19">
        <v>1618875.4479863674</v>
      </c>
      <c r="D57" s="19">
        <v>259020.07167781878</v>
      </c>
      <c r="E57" s="20">
        <v>2983195</v>
      </c>
      <c r="F57" s="19">
        <v>56</v>
      </c>
      <c r="G57" s="19">
        <v>32050</v>
      </c>
      <c r="H57" s="19">
        <v>382</v>
      </c>
      <c r="I57" s="19">
        <v>2662100</v>
      </c>
      <c r="J57" s="19">
        <v>0</v>
      </c>
      <c r="K57" s="19">
        <v>6008</v>
      </c>
      <c r="L57" s="19">
        <v>1226</v>
      </c>
      <c r="M57" s="19">
        <v>50238</v>
      </c>
      <c r="N57" s="19">
        <v>6024</v>
      </c>
      <c r="O57" s="19">
        <v>40</v>
      </c>
      <c r="P57" s="19">
        <v>15</v>
      </c>
      <c r="Q57" s="19">
        <v>0</v>
      </c>
      <c r="R57" s="19">
        <v>82</v>
      </c>
      <c r="S57" s="19">
        <v>2</v>
      </c>
      <c r="T57" s="19">
        <v>2140</v>
      </c>
      <c r="U57" s="19">
        <v>203842</v>
      </c>
      <c r="V57" s="19">
        <v>0</v>
      </c>
      <c r="W57" s="19">
        <v>755</v>
      </c>
      <c r="X57" s="19">
        <v>142</v>
      </c>
      <c r="Y57" s="19">
        <v>12007</v>
      </c>
      <c r="Z57" s="19">
        <v>4712</v>
      </c>
      <c r="AA57" s="19">
        <v>221</v>
      </c>
      <c r="AB57" s="19">
        <v>560</v>
      </c>
      <c r="AC57" s="19">
        <v>593</v>
      </c>
      <c r="AD57" s="19">
        <v>70242.75384615385</v>
      </c>
      <c r="AE57" s="19">
        <v>26621</v>
      </c>
      <c r="AF57" s="19">
        <v>10047.6</v>
      </c>
      <c r="AG57" s="19">
        <v>17633</v>
      </c>
      <c r="AH57" s="19">
        <v>15680.153846153846</v>
      </c>
      <c r="AI57" s="19">
        <v>40</v>
      </c>
      <c r="AJ57" s="19">
        <v>221</v>
      </c>
      <c r="AK57" s="19">
        <v>68773</v>
      </c>
      <c r="AL57" s="19">
        <v>22184</v>
      </c>
      <c r="AM57" s="19">
        <v>10124</v>
      </c>
      <c r="AN57" s="19">
        <v>21017</v>
      </c>
      <c r="AO57" s="19">
        <v>13086</v>
      </c>
      <c r="AP57" s="19">
        <v>2210</v>
      </c>
      <c r="AQ57" s="19">
        <v>152</v>
      </c>
      <c r="AR57" s="19">
        <v>112567</v>
      </c>
      <c r="AS57" s="19">
        <v>17633</v>
      </c>
      <c r="AT57" s="19">
        <v>10140</v>
      </c>
      <c r="AU57" s="19">
        <v>1114.2</v>
      </c>
      <c r="AV57" s="19">
        <v>655</v>
      </c>
      <c r="AW57" s="19">
        <v>40203</v>
      </c>
      <c r="AX57" s="19">
        <v>1122</v>
      </c>
      <c r="AY57" s="19">
        <v>0</v>
      </c>
      <c r="AZ57" s="19">
        <v>32</v>
      </c>
      <c r="BA57" s="19">
        <v>46</v>
      </c>
      <c r="BB57" s="19">
        <v>0</v>
      </c>
      <c r="BC57" s="19">
        <v>6</v>
      </c>
      <c r="BD57" s="19">
        <v>84</v>
      </c>
      <c r="BE57" s="19">
        <v>0</v>
      </c>
      <c r="BF57" s="19">
        <v>17</v>
      </c>
      <c r="BG57" s="19">
        <v>1</v>
      </c>
      <c r="BH57" s="19">
        <v>462</v>
      </c>
      <c r="BI57" s="19">
        <v>66</v>
      </c>
      <c r="BJ57" s="19">
        <v>0</v>
      </c>
      <c r="BK57" s="19">
        <v>0</v>
      </c>
      <c r="BL57" s="19">
        <v>1154</v>
      </c>
      <c r="BM57" s="19">
        <v>69</v>
      </c>
      <c r="BN57" s="19">
        <v>0</v>
      </c>
      <c r="BO57" s="19">
        <v>610</v>
      </c>
      <c r="BP57" s="19">
        <v>0</v>
      </c>
      <c r="BQ57" s="19">
        <v>0</v>
      </c>
      <c r="BR57" s="19">
        <v>1</v>
      </c>
      <c r="BS57" s="19">
        <v>0</v>
      </c>
      <c r="BT57" s="19">
        <v>0</v>
      </c>
      <c r="BU57" s="19">
        <v>0</v>
      </c>
      <c r="BV57" s="19">
        <v>0</v>
      </c>
      <c r="BW57" s="19">
        <v>1</v>
      </c>
      <c r="BX57" s="19">
        <v>0</v>
      </c>
      <c r="BY57" s="19">
        <v>0</v>
      </c>
      <c r="BZ57" s="19">
        <v>0</v>
      </c>
      <c r="CA57" s="19">
        <v>1</v>
      </c>
      <c r="CB57" s="19">
        <v>0</v>
      </c>
      <c r="CC57" s="19">
        <v>0</v>
      </c>
      <c r="CD57" s="19">
        <v>0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19">
        <v>0</v>
      </c>
      <c r="CL57" s="19">
        <v>0</v>
      </c>
      <c r="CM57" s="19">
        <v>0</v>
      </c>
      <c r="CN57" s="19">
        <v>0</v>
      </c>
      <c r="CO57" s="19">
        <v>0</v>
      </c>
      <c r="CP57" s="19">
        <v>0</v>
      </c>
      <c r="CQ57" s="19">
        <v>0</v>
      </c>
      <c r="CR57" s="19">
        <v>0</v>
      </c>
      <c r="CS57" s="19">
        <v>0</v>
      </c>
      <c r="CT57" s="19">
        <v>0</v>
      </c>
      <c r="CU57" s="19">
        <v>0</v>
      </c>
      <c r="CV57" s="19">
        <v>0</v>
      </c>
      <c r="CW57" s="19">
        <v>0</v>
      </c>
      <c r="CX57" s="19">
        <v>0</v>
      </c>
      <c r="CY57" s="19">
        <v>0</v>
      </c>
      <c r="CZ57" s="19">
        <v>0</v>
      </c>
      <c r="DA57" s="19">
        <v>0</v>
      </c>
      <c r="DB57" s="19">
        <v>0</v>
      </c>
      <c r="DC57" s="19">
        <v>0</v>
      </c>
      <c r="DD57" s="19">
        <v>0</v>
      </c>
      <c r="DE57" s="19">
        <v>0</v>
      </c>
      <c r="DF57" s="19">
        <v>0</v>
      </c>
      <c r="DG57" s="19">
        <v>0</v>
      </c>
      <c r="DH57" s="19">
        <v>0</v>
      </c>
      <c r="DI57" s="19">
        <v>0</v>
      </c>
      <c r="DJ57" s="21">
        <v>30507</v>
      </c>
      <c r="DK57" s="19">
        <v>68367286</v>
      </c>
      <c r="DL57" s="19">
        <v>39947371</v>
      </c>
      <c r="DM57" s="19">
        <v>8000</v>
      </c>
      <c r="DN57" s="19">
        <v>5422515</v>
      </c>
      <c r="DO57" s="19">
        <v>813687</v>
      </c>
      <c r="DP57" s="19">
        <v>17245969</v>
      </c>
      <c r="DQ57" s="19">
        <v>89925</v>
      </c>
      <c r="DR57" s="19">
        <v>4163630</v>
      </c>
      <c r="DS57" s="19">
        <v>676189</v>
      </c>
      <c r="DT57" s="22">
        <v>0.28000000000000003</v>
      </c>
    </row>
    <row r="58" spans="1:124" x14ac:dyDescent="0.35">
      <c r="A58" s="19" t="s">
        <v>163</v>
      </c>
      <c r="B58" s="19" t="s">
        <v>181</v>
      </c>
      <c r="C58" s="19">
        <v>1603419.9326604321</v>
      </c>
      <c r="D58" s="19">
        <v>256547.18922566914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42</v>
      </c>
      <c r="BA58" s="19">
        <v>34</v>
      </c>
      <c r="BB58" s="19">
        <v>0</v>
      </c>
      <c r="BC58" s="19">
        <v>1</v>
      </c>
      <c r="BD58" s="19">
        <v>77</v>
      </c>
      <c r="BE58" s="19">
        <v>0</v>
      </c>
      <c r="BF58" s="19">
        <v>0</v>
      </c>
      <c r="BG58" s="19">
        <v>0</v>
      </c>
      <c r="BH58" s="19">
        <v>452</v>
      </c>
      <c r="BI58" s="19">
        <v>87</v>
      </c>
      <c r="BJ58" s="19">
        <v>0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  <c r="BR58" s="19">
        <v>1</v>
      </c>
      <c r="BS58" s="19">
        <v>0</v>
      </c>
      <c r="BT58" s="19">
        <v>0</v>
      </c>
      <c r="BU58" s="19">
        <v>0</v>
      </c>
      <c r="BV58" s="19">
        <v>0</v>
      </c>
      <c r="BW58" s="19">
        <v>0</v>
      </c>
      <c r="BX58" s="19">
        <v>0</v>
      </c>
      <c r="BY58" s="19">
        <v>0</v>
      </c>
      <c r="BZ58" s="19">
        <v>1</v>
      </c>
      <c r="CA58" s="19">
        <v>1</v>
      </c>
      <c r="CB58" s="19">
        <v>0</v>
      </c>
      <c r="CC58" s="19">
        <v>0</v>
      </c>
      <c r="CD58" s="19">
        <v>0</v>
      </c>
      <c r="CE58" s="19">
        <v>0</v>
      </c>
      <c r="CF58" s="19">
        <v>1</v>
      </c>
      <c r="CG58" s="19">
        <v>1</v>
      </c>
      <c r="CH58" s="19">
        <v>1</v>
      </c>
      <c r="CI58" s="19">
        <v>1</v>
      </c>
      <c r="CJ58" s="19">
        <v>1</v>
      </c>
      <c r="CK58" s="19">
        <v>1</v>
      </c>
      <c r="CL58" s="19">
        <v>1</v>
      </c>
      <c r="CM58" s="19">
        <v>1</v>
      </c>
      <c r="CN58" s="19">
        <v>1</v>
      </c>
      <c r="CO58" s="19">
        <v>0</v>
      </c>
      <c r="CP58" s="19">
        <v>1</v>
      </c>
      <c r="CQ58" s="19">
        <v>1</v>
      </c>
      <c r="CR58" s="19">
        <v>1</v>
      </c>
      <c r="CS58" s="19">
        <v>1</v>
      </c>
      <c r="CT58" s="19">
        <v>1</v>
      </c>
      <c r="CU58" s="19">
        <v>1</v>
      </c>
      <c r="CV58" s="19">
        <v>0</v>
      </c>
      <c r="CW58" s="19">
        <v>0</v>
      </c>
      <c r="CX58" s="19">
        <v>0</v>
      </c>
      <c r="CY58" s="19">
        <v>0</v>
      </c>
      <c r="CZ58" s="19">
        <v>0</v>
      </c>
      <c r="DA58" s="19">
        <v>0</v>
      </c>
      <c r="DB58" s="19">
        <v>0</v>
      </c>
      <c r="DC58" s="19">
        <v>1</v>
      </c>
      <c r="DD58" s="19">
        <v>0</v>
      </c>
      <c r="DE58" s="19">
        <v>0</v>
      </c>
      <c r="DF58" s="19">
        <v>0</v>
      </c>
      <c r="DG58" s="19">
        <v>0</v>
      </c>
      <c r="DH58" s="19">
        <v>0</v>
      </c>
      <c r="DI58" s="19">
        <v>1</v>
      </c>
      <c r="DJ58" s="24">
        <v>70818</v>
      </c>
      <c r="DK58" s="19">
        <v>0</v>
      </c>
      <c r="DL58" s="19">
        <v>0</v>
      </c>
      <c r="DM58" s="19">
        <v>0</v>
      </c>
      <c r="DN58" s="19">
        <v>0</v>
      </c>
      <c r="DO58" s="19">
        <v>0</v>
      </c>
      <c r="DP58" s="19">
        <v>0</v>
      </c>
      <c r="DQ58" s="19">
        <v>0</v>
      </c>
      <c r="DR58" s="19">
        <v>0</v>
      </c>
      <c r="DS58" s="19">
        <v>0</v>
      </c>
      <c r="DT58" s="22">
        <v>0.22</v>
      </c>
    </row>
    <row r="59" spans="1:124" x14ac:dyDescent="0.35">
      <c r="A59" s="19" t="s">
        <v>163</v>
      </c>
      <c r="B59" s="19" t="s">
        <v>182</v>
      </c>
      <c r="C59" s="19">
        <v>14024534.770290237</v>
      </c>
      <c r="D59" s="19">
        <v>2243925.5632464378</v>
      </c>
      <c r="E59" s="20">
        <v>277835345</v>
      </c>
      <c r="F59" s="19">
        <v>11599</v>
      </c>
      <c r="G59" s="19">
        <v>301608</v>
      </c>
      <c r="H59" s="19">
        <v>6604</v>
      </c>
      <c r="I59" s="19">
        <v>272724392</v>
      </c>
      <c r="J59" s="19">
        <v>1584</v>
      </c>
      <c r="K59" s="19">
        <v>68222</v>
      </c>
      <c r="L59" s="19">
        <v>6694</v>
      </c>
      <c r="M59" s="19">
        <v>308882</v>
      </c>
      <c r="N59" s="19">
        <v>134581</v>
      </c>
      <c r="O59" s="19">
        <v>4698</v>
      </c>
      <c r="P59" s="19">
        <v>6270</v>
      </c>
      <c r="Q59" s="19">
        <v>2160</v>
      </c>
      <c r="R59" s="19">
        <v>1158</v>
      </c>
      <c r="S59" s="19">
        <v>2730</v>
      </c>
      <c r="T59" s="19">
        <v>333400</v>
      </c>
      <c r="U59" s="19">
        <v>3612642</v>
      </c>
      <c r="V59" s="19">
        <v>1596</v>
      </c>
      <c r="W59" s="19">
        <v>4785</v>
      </c>
      <c r="X59" s="19">
        <v>2236</v>
      </c>
      <c r="Y59" s="19">
        <v>81433</v>
      </c>
      <c r="Z59" s="19">
        <v>100477</v>
      </c>
      <c r="AA59" s="19">
        <v>152</v>
      </c>
      <c r="AB59" s="19">
        <v>9617</v>
      </c>
      <c r="AC59" s="19">
        <v>107825</v>
      </c>
      <c r="AD59" s="19">
        <v>3210201.8584615383</v>
      </c>
      <c r="AE59" s="19">
        <v>2727243.92</v>
      </c>
      <c r="AF59" s="19">
        <v>61776.4</v>
      </c>
      <c r="AG59" s="19">
        <v>138436</v>
      </c>
      <c r="AH59" s="19">
        <v>277895.53846153844</v>
      </c>
      <c r="AI59" s="19">
        <v>4698</v>
      </c>
      <c r="AJ59" s="19">
        <v>152</v>
      </c>
      <c r="AK59" s="19">
        <v>2145906</v>
      </c>
      <c r="AL59" s="19">
        <v>1568008</v>
      </c>
      <c r="AM59" s="19">
        <v>48540</v>
      </c>
      <c r="AN59" s="19">
        <v>301878</v>
      </c>
      <c r="AO59" s="19">
        <v>225185</v>
      </c>
      <c r="AP59" s="19">
        <v>1520</v>
      </c>
      <c r="AQ59" s="19">
        <v>775</v>
      </c>
      <c r="AR59" s="19">
        <v>525810</v>
      </c>
      <c r="AS59" s="19">
        <v>138436</v>
      </c>
      <c r="AT59" s="19">
        <v>135939</v>
      </c>
      <c r="AU59" s="19">
        <v>21057.89999999998</v>
      </c>
      <c r="AV59" s="19">
        <v>8480</v>
      </c>
      <c r="AW59" s="19">
        <v>201002</v>
      </c>
      <c r="AX59" s="19">
        <v>33141</v>
      </c>
      <c r="AY59" s="19">
        <v>74717.700407911427</v>
      </c>
      <c r="AZ59" s="19">
        <v>1506</v>
      </c>
      <c r="BA59" s="19">
        <v>570</v>
      </c>
      <c r="BB59" s="19">
        <v>416</v>
      </c>
      <c r="BC59" s="19">
        <v>49</v>
      </c>
      <c r="BD59" s="19">
        <v>2541</v>
      </c>
      <c r="BE59" s="19">
        <v>809</v>
      </c>
      <c r="BF59" s="19">
        <v>197</v>
      </c>
      <c r="BG59" s="19">
        <v>4</v>
      </c>
      <c r="BH59" s="19">
        <v>6502</v>
      </c>
      <c r="BI59" s="19">
        <v>6712</v>
      </c>
      <c r="BJ59" s="19">
        <v>116</v>
      </c>
      <c r="BK59" s="19">
        <v>475</v>
      </c>
      <c r="BL59" s="19">
        <v>63858</v>
      </c>
      <c r="BM59" s="19">
        <v>2562</v>
      </c>
      <c r="BN59" s="19">
        <v>446</v>
      </c>
      <c r="BO59" s="19">
        <v>22125</v>
      </c>
      <c r="BP59" s="19">
        <v>0</v>
      </c>
      <c r="BQ59" s="19">
        <v>0</v>
      </c>
      <c r="BR59" s="19">
        <v>1</v>
      </c>
      <c r="BS59" s="19">
        <v>0</v>
      </c>
      <c r="BT59" s="19">
        <v>0</v>
      </c>
      <c r="BU59" s="19">
        <v>0</v>
      </c>
      <c r="BV59" s="19">
        <v>0</v>
      </c>
      <c r="BW59" s="19">
        <v>1</v>
      </c>
      <c r="BX59" s="19">
        <v>0</v>
      </c>
      <c r="BY59" s="19">
        <v>0</v>
      </c>
      <c r="BZ59" s="19">
        <v>0</v>
      </c>
      <c r="CA59" s="19">
        <v>0</v>
      </c>
      <c r="CB59" s="19">
        <v>0</v>
      </c>
      <c r="CC59" s="19">
        <v>0</v>
      </c>
      <c r="CD59" s="19">
        <v>0</v>
      </c>
      <c r="CE59" s="19">
        <v>0</v>
      </c>
      <c r="CF59" s="19">
        <v>0</v>
      </c>
      <c r="CG59" s="19">
        <v>0</v>
      </c>
      <c r="CH59" s="19">
        <v>1</v>
      </c>
      <c r="CI59" s="19">
        <v>1</v>
      </c>
      <c r="CJ59" s="19">
        <v>1</v>
      </c>
      <c r="CK59" s="19">
        <v>1</v>
      </c>
      <c r="CL59" s="19">
        <v>1</v>
      </c>
      <c r="CM59" s="19">
        <v>1</v>
      </c>
      <c r="CN59" s="19">
        <v>1</v>
      </c>
      <c r="CO59" s="19">
        <v>0</v>
      </c>
      <c r="CP59" s="19">
        <v>1</v>
      </c>
      <c r="CQ59" s="19">
        <v>1</v>
      </c>
      <c r="CR59" s="19">
        <v>1</v>
      </c>
      <c r="CS59" s="19">
        <v>1</v>
      </c>
      <c r="CT59" s="19">
        <v>1</v>
      </c>
      <c r="CU59" s="19">
        <v>1</v>
      </c>
      <c r="CV59" s="19">
        <v>0</v>
      </c>
      <c r="CW59" s="19">
        <v>1</v>
      </c>
      <c r="CX59" s="19">
        <v>0</v>
      </c>
      <c r="CY59" s="19">
        <v>0</v>
      </c>
      <c r="CZ59" s="19">
        <v>0</v>
      </c>
      <c r="DA59" s="19">
        <v>0</v>
      </c>
      <c r="DB59" s="19">
        <v>0</v>
      </c>
      <c r="DC59" s="19">
        <v>0</v>
      </c>
      <c r="DD59" s="19">
        <v>1</v>
      </c>
      <c r="DE59" s="19">
        <v>0</v>
      </c>
      <c r="DF59" s="19">
        <v>0</v>
      </c>
      <c r="DG59" s="19">
        <v>0</v>
      </c>
      <c r="DH59" s="19">
        <v>0</v>
      </c>
      <c r="DI59" s="19">
        <v>0</v>
      </c>
      <c r="DJ59" s="21">
        <v>30619</v>
      </c>
      <c r="DK59" s="19">
        <v>2938444120</v>
      </c>
      <c r="DL59" s="19">
        <v>2621390545</v>
      </c>
      <c r="DM59" s="19">
        <v>8130000</v>
      </c>
      <c r="DN59" s="19">
        <v>39219661</v>
      </c>
      <c r="DO59" s="19">
        <v>19072301</v>
      </c>
      <c r="DP59" s="19">
        <v>151973186</v>
      </c>
      <c r="DQ59" s="19">
        <v>19200807</v>
      </c>
      <c r="DR59" s="19">
        <v>72921197</v>
      </c>
      <c r="DS59" s="19">
        <v>6536423</v>
      </c>
      <c r="DT59" s="22">
        <v>0.32</v>
      </c>
    </row>
    <row r="60" spans="1:124" x14ac:dyDescent="0.35">
      <c r="A60" s="19" t="s">
        <v>163</v>
      </c>
      <c r="B60" s="19" t="s">
        <v>183</v>
      </c>
      <c r="C60" s="19">
        <v>2267354.6189401606</v>
      </c>
      <c r="D60" s="19">
        <v>362776.73903042567</v>
      </c>
      <c r="E60" s="20">
        <v>7067806</v>
      </c>
      <c r="F60" s="19">
        <v>37</v>
      </c>
      <c r="G60" s="19">
        <v>33454</v>
      </c>
      <c r="H60" s="19">
        <v>418</v>
      </c>
      <c r="I60" s="19">
        <v>6780361</v>
      </c>
      <c r="J60" s="19">
        <v>14</v>
      </c>
      <c r="K60" s="19">
        <v>22839</v>
      </c>
      <c r="L60" s="19">
        <v>1326</v>
      </c>
      <c r="M60" s="19">
        <v>25911</v>
      </c>
      <c r="N60" s="19">
        <v>18728</v>
      </c>
      <c r="O60" s="19">
        <v>0</v>
      </c>
      <c r="P60" s="19">
        <v>0</v>
      </c>
      <c r="Q60" s="19">
        <v>0</v>
      </c>
      <c r="R60" s="19">
        <v>181</v>
      </c>
      <c r="S60" s="19">
        <v>0</v>
      </c>
      <c r="T60" s="19">
        <v>1140</v>
      </c>
      <c r="U60" s="19">
        <v>156222</v>
      </c>
      <c r="V60" s="19">
        <v>0</v>
      </c>
      <c r="W60" s="19">
        <v>1466</v>
      </c>
      <c r="X60" s="19">
        <v>212</v>
      </c>
      <c r="Y60" s="19">
        <v>11894</v>
      </c>
      <c r="Z60" s="19">
        <v>13136</v>
      </c>
      <c r="AA60" s="19">
        <v>0</v>
      </c>
      <c r="AB60" s="19">
        <v>380</v>
      </c>
      <c r="AC60" s="19">
        <v>87</v>
      </c>
      <c r="AD60" s="19">
        <v>91553.88692307692</v>
      </c>
      <c r="AE60" s="19">
        <v>67803.61</v>
      </c>
      <c r="AF60" s="19">
        <v>5182.2</v>
      </c>
      <c r="AG60" s="19">
        <v>6551</v>
      </c>
      <c r="AH60" s="19">
        <v>12017.076923076924</v>
      </c>
      <c r="AI60" s="19">
        <v>0</v>
      </c>
      <c r="AJ60" s="19">
        <v>0</v>
      </c>
      <c r="AK60" s="19">
        <v>138850</v>
      </c>
      <c r="AL60" s="19">
        <v>56502</v>
      </c>
      <c r="AM60" s="19">
        <v>5273</v>
      </c>
      <c r="AN60" s="19">
        <v>65691</v>
      </c>
      <c r="AO60" s="19">
        <v>11384</v>
      </c>
      <c r="AP60" s="19">
        <v>0</v>
      </c>
      <c r="AQ60" s="19">
        <v>0</v>
      </c>
      <c r="AR60" s="19">
        <v>27742</v>
      </c>
      <c r="AS60" s="19">
        <v>6551</v>
      </c>
      <c r="AT60" s="19">
        <v>3398</v>
      </c>
      <c r="AU60" s="19">
        <v>11</v>
      </c>
      <c r="AV60" s="19">
        <v>0</v>
      </c>
      <c r="AW60" s="19">
        <v>12993</v>
      </c>
      <c r="AX60" s="19">
        <v>11</v>
      </c>
      <c r="AY60" s="19">
        <v>0</v>
      </c>
      <c r="AZ60" s="19">
        <v>39</v>
      </c>
      <c r="BA60" s="19">
        <v>56</v>
      </c>
      <c r="BB60" s="19">
        <v>0</v>
      </c>
      <c r="BC60" s="19">
        <v>5</v>
      </c>
      <c r="BD60" s="19">
        <v>100</v>
      </c>
      <c r="BE60" s="19">
        <v>0</v>
      </c>
      <c r="BF60" s="19">
        <v>12</v>
      </c>
      <c r="BG60" s="19">
        <v>1</v>
      </c>
      <c r="BH60" s="19">
        <v>832</v>
      </c>
      <c r="BI60" s="19">
        <v>276</v>
      </c>
      <c r="BJ60" s="19">
        <v>0</v>
      </c>
      <c r="BK60" s="19">
        <v>0</v>
      </c>
      <c r="BL60" s="19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19">
        <v>1</v>
      </c>
      <c r="BS60" s="19">
        <v>0</v>
      </c>
      <c r="BT60" s="19">
        <v>0</v>
      </c>
      <c r="BU60" s="19">
        <v>0</v>
      </c>
      <c r="BV60" s="19">
        <v>0</v>
      </c>
      <c r="BW60" s="19">
        <v>0</v>
      </c>
      <c r="BX60" s="19">
        <v>0</v>
      </c>
      <c r="BY60" s="19">
        <v>0</v>
      </c>
      <c r="BZ60" s="19">
        <v>1</v>
      </c>
      <c r="CA60" s="19">
        <v>1</v>
      </c>
      <c r="CB60" s="19">
        <v>0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0</v>
      </c>
      <c r="CZ60" s="19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19">
        <v>0</v>
      </c>
      <c r="DG60" s="19">
        <v>0</v>
      </c>
      <c r="DH60" s="19">
        <v>0</v>
      </c>
      <c r="DI60" s="19">
        <v>1</v>
      </c>
      <c r="DJ60" s="21">
        <v>30432</v>
      </c>
      <c r="DK60" s="19">
        <v>129237473</v>
      </c>
      <c r="DL60" s="19">
        <v>80562257</v>
      </c>
      <c r="DM60" s="19">
        <v>0</v>
      </c>
      <c r="DN60" s="19">
        <v>2586814</v>
      </c>
      <c r="DO60" s="19">
        <v>3204430</v>
      </c>
      <c r="DP60" s="19">
        <v>38903022</v>
      </c>
      <c r="DQ60" s="19">
        <v>12293</v>
      </c>
      <c r="DR60" s="19">
        <v>3255169</v>
      </c>
      <c r="DS60" s="19">
        <v>713488</v>
      </c>
      <c r="DT60" s="22">
        <v>0.25</v>
      </c>
    </row>
    <row r="61" spans="1:124" x14ac:dyDescent="0.35">
      <c r="A61" s="19" t="s">
        <v>163</v>
      </c>
      <c r="B61" s="19" t="s">
        <v>184</v>
      </c>
      <c r="C61" s="19">
        <v>2079607.4766230811</v>
      </c>
      <c r="D61" s="19">
        <v>332737.19625969301</v>
      </c>
      <c r="E61" s="20">
        <v>2806971</v>
      </c>
      <c r="F61" s="19">
        <v>4492</v>
      </c>
      <c r="G61" s="19">
        <v>12703</v>
      </c>
      <c r="H61" s="19">
        <v>520</v>
      </c>
      <c r="I61" s="19">
        <v>2631503</v>
      </c>
      <c r="J61" s="19">
        <v>98</v>
      </c>
      <c r="K61" s="19">
        <v>4010</v>
      </c>
      <c r="L61" s="19">
        <v>425</v>
      </c>
      <c r="M61" s="19">
        <v>15680</v>
      </c>
      <c r="N61" s="19">
        <v>4337</v>
      </c>
      <c r="O61" s="19">
        <v>0</v>
      </c>
      <c r="P61" s="19">
        <v>1851</v>
      </c>
      <c r="Q61" s="19">
        <v>0</v>
      </c>
      <c r="R61" s="19">
        <v>30</v>
      </c>
      <c r="S61" s="19">
        <v>293</v>
      </c>
      <c r="T61" s="19">
        <v>7440</v>
      </c>
      <c r="U61" s="19">
        <v>106716</v>
      </c>
      <c r="V61" s="19">
        <v>84</v>
      </c>
      <c r="W61" s="19">
        <v>382</v>
      </c>
      <c r="X61" s="19">
        <v>144</v>
      </c>
      <c r="Y61" s="19">
        <v>3127</v>
      </c>
      <c r="Z61" s="19">
        <v>10037</v>
      </c>
      <c r="AA61" s="19">
        <v>22</v>
      </c>
      <c r="AB61" s="19">
        <v>780</v>
      </c>
      <c r="AC61" s="19">
        <v>2297</v>
      </c>
      <c r="AD61" s="19">
        <v>45107.953076923077</v>
      </c>
      <c r="AE61" s="19">
        <v>26315.03</v>
      </c>
      <c r="AF61" s="19">
        <v>3136</v>
      </c>
      <c r="AG61" s="19">
        <v>7426</v>
      </c>
      <c r="AH61" s="19">
        <v>8208.9230769230762</v>
      </c>
      <c r="AI61" s="19">
        <v>0</v>
      </c>
      <c r="AJ61" s="19">
        <v>22</v>
      </c>
      <c r="AK61" s="19">
        <v>48883</v>
      </c>
      <c r="AL61" s="19">
        <v>21929</v>
      </c>
      <c r="AM61" s="19">
        <v>3086</v>
      </c>
      <c r="AN61" s="19">
        <v>15378</v>
      </c>
      <c r="AO61" s="19">
        <v>8270</v>
      </c>
      <c r="AP61" s="19">
        <v>220</v>
      </c>
      <c r="AQ61" s="19">
        <v>0</v>
      </c>
      <c r="AR61" s="19">
        <v>28223</v>
      </c>
      <c r="AS61" s="19">
        <v>7426</v>
      </c>
      <c r="AT61" s="19">
        <v>7505</v>
      </c>
      <c r="AU61" s="19">
        <v>995.49999999999955</v>
      </c>
      <c r="AV61" s="19">
        <v>191</v>
      </c>
      <c r="AW61" s="19">
        <v>9688</v>
      </c>
      <c r="AX61" s="19">
        <v>1148</v>
      </c>
      <c r="AY61" s="19">
        <v>8190</v>
      </c>
      <c r="AZ61" s="19">
        <v>88</v>
      </c>
      <c r="BA61" s="19">
        <v>41</v>
      </c>
      <c r="BB61" s="19">
        <v>0</v>
      </c>
      <c r="BC61" s="19">
        <v>1</v>
      </c>
      <c r="BD61" s="19">
        <v>130</v>
      </c>
      <c r="BE61" s="19">
        <v>75</v>
      </c>
      <c r="BF61" s="19">
        <v>10</v>
      </c>
      <c r="BG61" s="19">
        <v>1</v>
      </c>
      <c r="BH61" s="19">
        <v>431</v>
      </c>
      <c r="BI61" s="19">
        <v>79</v>
      </c>
      <c r="BJ61" s="19">
        <v>0</v>
      </c>
      <c r="BK61" s="19">
        <v>0</v>
      </c>
      <c r="BL61" s="19">
        <v>13538</v>
      </c>
      <c r="BM61" s="19">
        <v>778</v>
      </c>
      <c r="BN61" s="19">
        <v>162</v>
      </c>
      <c r="BO61" s="19">
        <v>4878</v>
      </c>
      <c r="BP61" s="19">
        <v>0</v>
      </c>
      <c r="BQ61" s="19">
        <v>0</v>
      </c>
      <c r="BR61" s="19">
        <v>1</v>
      </c>
      <c r="BS61" s="19">
        <v>0</v>
      </c>
      <c r="BT61" s="19">
        <v>0</v>
      </c>
      <c r="BU61" s="19">
        <v>0</v>
      </c>
      <c r="BV61" s="19">
        <v>0</v>
      </c>
      <c r="BW61" s="19">
        <v>0</v>
      </c>
      <c r="BX61" s="19">
        <v>0</v>
      </c>
      <c r="BY61" s="19">
        <v>0</v>
      </c>
      <c r="BZ61" s="19">
        <v>1</v>
      </c>
      <c r="CA61" s="19">
        <v>1</v>
      </c>
      <c r="CB61" s="19">
        <v>0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1</v>
      </c>
      <c r="CI61" s="19">
        <v>1</v>
      </c>
      <c r="CJ61" s="19">
        <v>1</v>
      </c>
      <c r="CK61" s="19">
        <v>1</v>
      </c>
      <c r="CL61" s="19">
        <v>1</v>
      </c>
      <c r="CM61" s="19">
        <v>1</v>
      </c>
      <c r="CN61" s="19">
        <v>1</v>
      </c>
      <c r="CO61" s="19">
        <v>0</v>
      </c>
      <c r="CP61" s="19">
        <v>1</v>
      </c>
      <c r="CQ61" s="19">
        <v>1</v>
      </c>
      <c r="CR61" s="19">
        <v>1</v>
      </c>
      <c r="CS61" s="19">
        <v>1</v>
      </c>
      <c r="CT61" s="19">
        <v>0</v>
      </c>
      <c r="CU61" s="19">
        <v>0</v>
      </c>
      <c r="CV61" s="19">
        <v>0</v>
      </c>
      <c r="CW61" s="19">
        <v>0</v>
      </c>
      <c r="CX61" s="19">
        <v>0</v>
      </c>
      <c r="CY61" s="19">
        <v>0</v>
      </c>
      <c r="CZ61" s="19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19">
        <v>0</v>
      </c>
      <c r="DG61" s="19">
        <v>0</v>
      </c>
      <c r="DH61" s="19">
        <v>0</v>
      </c>
      <c r="DI61" s="19">
        <v>1</v>
      </c>
      <c r="DJ61" s="21">
        <v>30328</v>
      </c>
      <c r="DK61" s="19">
        <v>46028368</v>
      </c>
      <c r="DL61" s="19">
        <v>29222808</v>
      </c>
      <c r="DM61" s="19">
        <v>0</v>
      </c>
      <c r="DN61" s="19">
        <v>1518594</v>
      </c>
      <c r="DO61" s="19">
        <v>643199</v>
      </c>
      <c r="DP61" s="19">
        <v>9500060</v>
      </c>
      <c r="DQ61" s="19">
        <v>2533973</v>
      </c>
      <c r="DR61" s="19">
        <v>2340893</v>
      </c>
      <c r="DS61" s="19">
        <v>268841</v>
      </c>
      <c r="DT61" s="22">
        <v>0.23</v>
      </c>
    </row>
    <row r="62" spans="1:124" x14ac:dyDescent="0.35">
      <c r="A62" s="19" t="s">
        <v>163</v>
      </c>
      <c r="B62" s="19" t="s">
        <v>185</v>
      </c>
      <c r="C62" s="19">
        <v>1973040.8842079232</v>
      </c>
      <c r="D62" s="19">
        <v>315686.54147326772</v>
      </c>
      <c r="E62" s="20">
        <v>5360868</v>
      </c>
      <c r="F62" s="19">
        <v>482</v>
      </c>
      <c r="G62" s="19">
        <v>9966</v>
      </c>
      <c r="H62" s="19">
        <v>132</v>
      </c>
      <c r="I62" s="19">
        <v>5032657</v>
      </c>
      <c r="J62" s="19">
        <v>60</v>
      </c>
      <c r="K62" s="19">
        <v>12591</v>
      </c>
      <c r="L62" s="19">
        <v>1839</v>
      </c>
      <c r="M62" s="19">
        <v>34440</v>
      </c>
      <c r="N62" s="19">
        <v>3691</v>
      </c>
      <c r="O62" s="19">
        <v>0</v>
      </c>
      <c r="P62" s="19">
        <v>274</v>
      </c>
      <c r="Q62" s="19">
        <v>0</v>
      </c>
      <c r="R62" s="19">
        <v>36</v>
      </c>
      <c r="S62" s="19">
        <v>139</v>
      </c>
      <c r="T62" s="19">
        <v>3040</v>
      </c>
      <c r="U62" s="19">
        <v>252226</v>
      </c>
      <c r="V62" s="19">
        <v>81</v>
      </c>
      <c r="W62" s="19">
        <v>150</v>
      </c>
      <c r="X62" s="19">
        <v>4</v>
      </c>
      <c r="Y62" s="19">
        <v>4238</v>
      </c>
      <c r="Z62" s="19">
        <v>3722</v>
      </c>
      <c r="AA62" s="19">
        <v>0</v>
      </c>
      <c r="AB62" s="19">
        <v>0</v>
      </c>
      <c r="AC62" s="19">
        <v>1100</v>
      </c>
      <c r="AD62" s="19">
        <v>83327.570000000007</v>
      </c>
      <c r="AE62" s="19">
        <v>50326.57</v>
      </c>
      <c r="AF62" s="19">
        <v>6888</v>
      </c>
      <c r="AG62" s="19">
        <v>6711</v>
      </c>
      <c r="AH62" s="19">
        <v>19402</v>
      </c>
      <c r="AI62" s="19">
        <v>0</v>
      </c>
      <c r="AJ62" s="19">
        <v>0</v>
      </c>
      <c r="AK62" s="19">
        <v>78518</v>
      </c>
      <c r="AL62" s="19">
        <v>41939</v>
      </c>
      <c r="AM62" s="19">
        <v>7941</v>
      </c>
      <c r="AN62" s="19">
        <v>12849</v>
      </c>
      <c r="AO62" s="19">
        <v>15789</v>
      </c>
      <c r="AP62" s="19">
        <v>0</v>
      </c>
      <c r="AQ62" s="19">
        <v>0</v>
      </c>
      <c r="AR62" s="19">
        <v>31925</v>
      </c>
      <c r="AS62" s="19">
        <v>6711</v>
      </c>
      <c r="AT62" s="19">
        <v>7694</v>
      </c>
      <c r="AU62" s="19">
        <v>2101.3000000000002</v>
      </c>
      <c r="AV62" s="19">
        <v>4</v>
      </c>
      <c r="AW62" s="19">
        <v>14742</v>
      </c>
      <c r="AX62" s="19">
        <v>2206</v>
      </c>
      <c r="AY62" s="19">
        <v>0</v>
      </c>
      <c r="AZ62" s="19">
        <v>76</v>
      </c>
      <c r="BA62" s="19">
        <v>39</v>
      </c>
      <c r="BB62" s="19">
        <v>0</v>
      </c>
      <c r="BC62" s="19">
        <v>8</v>
      </c>
      <c r="BD62" s="19">
        <v>123</v>
      </c>
      <c r="BE62" s="19">
        <v>0</v>
      </c>
      <c r="BF62" s="19">
        <v>0</v>
      </c>
      <c r="BG62" s="19">
        <v>0</v>
      </c>
      <c r="BH62" s="19">
        <v>622</v>
      </c>
      <c r="BI62" s="19">
        <v>42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371</v>
      </c>
      <c r="BP62" s="19">
        <v>0</v>
      </c>
      <c r="BQ62" s="19">
        <v>0</v>
      </c>
      <c r="BR62" s="19">
        <v>1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1</v>
      </c>
      <c r="CQ62" s="19">
        <v>1</v>
      </c>
      <c r="CR62" s="19">
        <v>1</v>
      </c>
      <c r="CS62" s="19">
        <v>1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21">
        <v>30715</v>
      </c>
      <c r="DK62" s="19">
        <v>89017253</v>
      </c>
      <c r="DL62" s="19">
        <v>53620219</v>
      </c>
      <c r="DM62" s="19">
        <v>0</v>
      </c>
      <c r="DN62" s="19">
        <v>4366828</v>
      </c>
      <c r="DO62" s="19">
        <v>508804</v>
      </c>
      <c r="DP62" s="19">
        <v>24892564</v>
      </c>
      <c r="DQ62" s="19">
        <v>380607</v>
      </c>
      <c r="DR62" s="19">
        <v>5034306</v>
      </c>
      <c r="DS62" s="19">
        <v>213925</v>
      </c>
      <c r="DT62" s="22">
        <v>0.28999999999999998</v>
      </c>
    </row>
    <row r="63" spans="1:124" x14ac:dyDescent="0.35">
      <c r="A63" s="19" t="s">
        <v>163</v>
      </c>
      <c r="B63" s="19" t="s">
        <v>186</v>
      </c>
      <c r="C63" s="19">
        <v>1939373.2910570584</v>
      </c>
      <c r="D63" s="19">
        <v>310299.72656912933</v>
      </c>
      <c r="E63" s="20">
        <v>5753155</v>
      </c>
      <c r="F63" s="19">
        <v>8</v>
      </c>
      <c r="G63" s="19">
        <v>22762</v>
      </c>
      <c r="H63" s="19">
        <v>722</v>
      </c>
      <c r="I63" s="19">
        <v>5286995</v>
      </c>
      <c r="J63" s="19">
        <v>0</v>
      </c>
      <c r="K63" s="19">
        <v>26141</v>
      </c>
      <c r="L63" s="19">
        <v>2377</v>
      </c>
      <c r="M63" s="19">
        <v>96759</v>
      </c>
      <c r="N63" s="19">
        <v>9233</v>
      </c>
      <c r="O63" s="19">
        <v>110</v>
      </c>
      <c r="P63" s="19">
        <v>10</v>
      </c>
      <c r="Q63" s="19">
        <v>0</v>
      </c>
      <c r="R63" s="19">
        <v>256</v>
      </c>
      <c r="S63" s="19">
        <v>0</v>
      </c>
      <c r="T63" s="19">
        <v>1460</v>
      </c>
      <c r="U63" s="19">
        <v>253862</v>
      </c>
      <c r="V63" s="19">
        <v>0</v>
      </c>
      <c r="W63" s="19">
        <v>1149</v>
      </c>
      <c r="X63" s="19">
        <v>140</v>
      </c>
      <c r="Y63" s="19">
        <v>24812</v>
      </c>
      <c r="Z63" s="19">
        <v>24694</v>
      </c>
      <c r="AA63" s="19">
        <v>161</v>
      </c>
      <c r="AB63" s="19">
        <v>1489</v>
      </c>
      <c r="AC63" s="19">
        <v>15</v>
      </c>
      <c r="AD63" s="19">
        <v>102818.59615384616</v>
      </c>
      <c r="AE63" s="19">
        <v>52869.95</v>
      </c>
      <c r="AF63" s="19">
        <v>19351.8</v>
      </c>
      <c r="AG63" s="19">
        <v>10798</v>
      </c>
      <c r="AH63" s="19">
        <v>19527.846153846152</v>
      </c>
      <c r="AI63" s="19">
        <v>110</v>
      </c>
      <c r="AJ63" s="19">
        <v>161</v>
      </c>
      <c r="AK63" s="19">
        <v>115565</v>
      </c>
      <c r="AL63" s="19">
        <v>44059</v>
      </c>
      <c r="AM63" s="19">
        <v>19932</v>
      </c>
      <c r="AN63" s="19">
        <v>31141</v>
      </c>
      <c r="AO63" s="19">
        <v>18405</v>
      </c>
      <c r="AP63" s="19">
        <v>1610</v>
      </c>
      <c r="AQ63" s="19">
        <v>418</v>
      </c>
      <c r="AR63" s="19">
        <v>59870</v>
      </c>
      <c r="AS63" s="19">
        <v>10798</v>
      </c>
      <c r="AT63" s="19">
        <v>9381</v>
      </c>
      <c r="AU63" s="19">
        <v>844</v>
      </c>
      <c r="AV63" s="19">
        <v>379</v>
      </c>
      <c r="AW63" s="19">
        <v>25178</v>
      </c>
      <c r="AX63" s="19">
        <v>909</v>
      </c>
      <c r="AY63" s="19">
        <v>0</v>
      </c>
      <c r="AZ63" s="19">
        <v>100</v>
      </c>
      <c r="BA63" s="19">
        <v>43</v>
      </c>
      <c r="BB63" s="19">
        <v>0</v>
      </c>
      <c r="BC63" s="19">
        <v>3</v>
      </c>
      <c r="BD63" s="19">
        <v>146</v>
      </c>
      <c r="BE63" s="19">
        <v>0</v>
      </c>
      <c r="BF63" s="19">
        <v>0</v>
      </c>
      <c r="BG63" s="19">
        <v>0</v>
      </c>
      <c r="BH63" s="19">
        <v>712</v>
      </c>
      <c r="BI63" s="19">
        <v>162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1</v>
      </c>
      <c r="BS63" s="19">
        <v>0</v>
      </c>
      <c r="BT63" s="19">
        <v>0</v>
      </c>
      <c r="BU63" s="19">
        <v>0</v>
      </c>
      <c r="BV63" s="19">
        <v>0</v>
      </c>
      <c r="BW63" s="19">
        <v>1</v>
      </c>
      <c r="BX63" s="19">
        <v>0</v>
      </c>
      <c r="BY63" s="19">
        <v>0</v>
      </c>
      <c r="BZ63" s="19">
        <v>0</v>
      </c>
      <c r="CA63" s="19">
        <v>1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1</v>
      </c>
      <c r="DJ63" s="21">
        <v>30508</v>
      </c>
      <c r="DK63" s="19">
        <v>142698622</v>
      </c>
      <c r="DL63" s="19">
        <v>71053920</v>
      </c>
      <c r="DM63" s="19">
        <v>22000</v>
      </c>
      <c r="DN63" s="19">
        <v>10968678</v>
      </c>
      <c r="DO63" s="19">
        <v>1397408</v>
      </c>
      <c r="DP63" s="19">
        <v>53063000</v>
      </c>
      <c r="DQ63" s="19">
        <v>7645</v>
      </c>
      <c r="DR63" s="19">
        <v>5707355</v>
      </c>
      <c r="DS63" s="19">
        <v>478616</v>
      </c>
      <c r="DT63" s="22">
        <v>0.26</v>
      </c>
    </row>
    <row r="64" spans="1:124" x14ac:dyDescent="0.35">
      <c r="A64" s="19" t="s">
        <v>163</v>
      </c>
      <c r="B64" s="19" t="s">
        <v>187</v>
      </c>
      <c r="C64" s="19">
        <v>5783070.7633688189</v>
      </c>
      <c r="D64" s="19">
        <v>925291.322139011</v>
      </c>
      <c r="E64" s="20">
        <v>56159150</v>
      </c>
      <c r="F64" s="19">
        <v>11325</v>
      </c>
      <c r="G64" s="19">
        <v>78046</v>
      </c>
      <c r="H64" s="19">
        <v>1993</v>
      </c>
      <c r="I64" s="19">
        <v>54151589</v>
      </c>
      <c r="J64" s="19">
        <v>670</v>
      </c>
      <c r="K64" s="19">
        <v>39928</v>
      </c>
      <c r="L64" s="19">
        <v>3431</v>
      </c>
      <c r="M64" s="19">
        <v>91303</v>
      </c>
      <c r="N64" s="19">
        <v>55337</v>
      </c>
      <c r="O64" s="19">
        <v>200</v>
      </c>
      <c r="P64" s="19">
        <v>5826</v>
      </c>
      <c r="Q64" s="19">
        <v>0</v>
      </c>
      <c r="R64" s="19">
        <v>409</v>
      </c>
      <c r="S64" s="19">
        <v>1368</v>
      </c>
      <c r="T64" s="19">
        <v>59400</v>
      </c>
      <c r="U64" s="19">
        <v>1546179</v>
      </c>
      <c r="V64" s="19">
        <v>630</v>
      </c>
      <c r="W64" s="19">
        <v>3289</v>
      </c>
      <c r="X64" s="19">
        <v>1565</v>
      </c>
      <c r="Y64" s="19">
        <v>25167</v>
      </c>
      <c r="Z64" s="19">
        <v>54743</v>
      </c>
      <c r="AA64" s="19">
        <v>70</v>
      </c>
      <c r="AB64" s="19">
        <v>6261</v>
      </c>
      <c r="AC64" s="19">
        <v>20421</v>
      </c>
      <c r="AD64" s="19">
        <v>724823.33615384612</v>
      </c>
      <c r="AE64" s="19">
        <v>541515.89</v>
      </c>
      <c r="AF64" s="19">
        <v>18260.599999999999</v>
      </c>
      <c r="AG64" s="19">
        <v>45840</v>
      </c>
      <c r="AH64" s="19">
        <v>118936.84615384616</v>
      </c>
      <c r="AI64" s="19">
        <v>200</v>
      </c>
      <c r="AJ64" s="19">
        <v>70</v>
      </c>
      <c r="AK64" s="19">
        <v>760143</v>
      </c>
      <c r="AL64" s="19">
        <v>451263</v>
      </c>
      <c r="AM64" s="19">
        <v>17202</v>
      </c>
      <c r="AN64" s="19">
        <v>199621</v>
      </c>
      <c r="AO64" s="19">
        <v>90597</v>
      </c>
      <c r="AP64" s="19">
        <v>700</v>
      </c>
      <c r="AQ64" s="19">
        <v>760</v>
      </c>
      <c r="AR64" s="19">
        <v>177021</v>
      </c>
      <c r="AS64" s="19">
        <v>45840</v>
      </c>
      <c r="AT64" s="19">
        <v>30781</v>
      </c>
      <c r="AU64" s="19">
        <v>17941.599999999977</v>
      </c>
      <c r="AV64" s="19">
        <v>7108</v>
      </c>
      <c r="AW64" s="19">
        <v>86926</v>
      </c>
      <c r="AX64" s="19">
        <v>20065</v>
      </c>
      <c r="AY64" s="19">
        <v>0</v>
      </c>
      <c r="AZ64" s="19">
        <v>174</v>
      </c>
      <c r="BA64" s="19">
        <v>247</v>
      </c>
      <c r="BB64" s="19">
        <v>6</v>
      </c>
      <c r="BC64" s="19">
        <v>29</v>
      </c>
      <c r="BD64" s="19">
        <v>456</v>
      </c>
      <c r="BE64" s="19">
        <v>0</v>
      </c>
      <c r="BF64" s="19">
        <v>201</v>
      </c>
      <c r="BG64" s="19">
        <v>6</v>
      </c>
      <c r="BH64" s="19">
        <v>2041</v>
      </c>
      <c r="BI64" s="19">
        <v>1567</v>
      </c>
      <c r="BJ64" s="19">
        <v>102</v>
      </c>
      <c r="BK64" s="19">
        <v>103</v>
      </c>
      <c r="BL64" s="19">
        <v>19423</v>
      </c>
      <c r="BM64" s="19">
        <v>1065</v>
      </c>
      <c r="BN64" s="19">
        <v>190</v>
      </c>
      <c r="BO64" s="19">
        <v>11715</v>
      </c>
      <c r="BP64" s="19">
        <v>0</v>
      </c>
      <c r="BQ64" s="19">
        <v>0</v>
      </c>
      <c r="BR64" s="19">
        <v>1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1</v>
      </c>
      <c r="CA64" s="19">
        <v>1</v>
      </c>
      <c r="CB64" s="19">
        <v>0</v>
      </c>
      <c r="CC64" s="19">
        <v>0</v>
      </c>
      <c r="CD64" s="19">
        <v>0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19">
        <v>0</v>
      </c>
      <c r="CL64" s="19">
        <v>0</v>
      </c>
      <c r="CM64" s="19">
        <v>0</v>
      </c>
      <c r="CN64" s="19">
        <v>0</v>
      </c>
      <c r="CO64" s="19">
        <v>0</v>
      </c>
      <c r="CP64" s="19">
        <v>1</v>
      </c>
      <c r="CQ64" s="19">
        <v>1</v>
      </c>
      <c r="CR64" s="19">
        <v>1</v>
      </c>
      <c r="CS64" s="19">
        <v>1</v>
      </c>
      <c r="CT64" s="19">
        <v>1</v>
      </c>
      <c r="CU64" s="19">
        <v>1</v>
      </c>
      <c r="CV64" s="19">
        <v>0</v>
      </c>
      <c r="CW64" s="19">
        <v>1</v>
      </c>
      <c r="CX64" s="19">
        <v>0</v>
      </c>
      <c r="CY64" s="19">
        <v>0</v>
      </c>
      <c r="CZ64" s="19">
        <v>0</v>
      </c>
      <c r="DA64" s="19">
        <v>0</v>
      </c>
      <c r="DB64" s="19">
        <v>0</v>
      </c>
      <c r="DC64" s="19">
        <v>0</v>
      </c>
      <c r="DD64" s="19">
        <v>0</v>
      </c>
      <c r="DE64" s="19">
        <v>0</v>
      </c>
      <c r="DF64" s="19">
        <v>0</v>
      </c>
      <c r="DG64" s="19">
        <v>0</v>
      </c>
      <c r="DH64" s="19">
        <v>0</v>
      </c>
      <c r="DI64" s="19">
        <v>1</v>
      </c>
      <c r="DJ64" s="21">
        <v>30427</v>
      </c>
      <c r="DK64" s="19">
        <v>719694076</v>
      </c>
      <c r="DL64" s="19">
        <v>580306956</v>
      </c>
      <c r="DM64" s="19">
        <v>33600</v>
      </c>
      <c r="DN64" s="19">
        <v>9183344</v>
      </c>
      <c r="DO64" s="19">
        <v>7426607</v>
      </c>
      <c r="DP64" s="19">
        <v>81149625</v>
      </c>
      <c r="DQ64" s="19">
        <v>8330502</v>
      </c>
      <c r="DR64" s="19">
        <v>31577481</v>
      </c>
      <c r="DS64" s="19">
        <v>1685961</v>
      </c>
      <c r="DT64" s="22">
        <v>0.27</v>
      </c>
    </row>
    <row r="65" spans="1:124" x14ac:dyDescent="0.35">
      <c r="A65" s="19" t="s">
        <v>163</v>
      </c>
      <c r="B65" s="19" t="s">
        <v>188</v>
      </c>
      <c r="C65" s="19">
        <v>402211.15583431209</v>
      </c>
      <c r="D65" s="19">
        <v>64353.784933489937</v>
      </c>
      <c r="E65" s="20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34</v>
      </c>
      <c r="BA65" s="19">
        <v>6</v>
      </c>
      <c r="BB65" s="19">
        <v>0</v>
      </c>
      <c r="BC65" s="19">
        <v>0</v>
      </c>
      <c r="BD65" s="19">
        <v>40</v>
      </c>
      <c r="BE65" s="19">
        <v>0</v>
      </c>
      <c r="BF65" s="19">
        <v>0</v>
      </c>
      <c r="BG65" s="19">
        <v>0</v>
      </c>
      <c r="BH65" s="19">
        <v>56</v>
      </c>
      <c r="BI65" s="19">
        <v>26</v>
      </c>
      <c r="BJ65" s="19">
        <v>0</v>
      </c>
      <c r="BK65" s="19">
        <v>0</v>
      </c>
      <c r="BL65" s="19">
        <v>6463</v>
      </c>
      <c r="BM65" s="19">
        <v>360</v>
      </c>
      <c r="BN65" s="19">
        <v>43</v>
      </c>
      <c r="BO65" s="19">
        <v>1889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>
        <v>0</v>
      </c>
      <c r="BW65" s="19">
        <v>0</v>
      </c>
      <c r="BX65" s="19">
        <v>0</v>
      </c>
      <c r="BY65" s="19">
        <v>0</v>
      </c>
      <c r="BZ65" s="19">
        <v>0</v>
      </c>
      <c r="CA65" s="19">
        <v>0</v>
      </c>
      <c r="CB65" s="19">
        <v>0</v>
      </c>
      <c r="CC65" s="19">
        <v>0</v>
      </c>
      <c r="CD65" s="19">
        <v>0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19">
        <v>0</v>
      </c>
      <c r="CL65" s="19">
        <v>0</v>
      </c>
      <c r="CM65" s="19">
        <v>0</v>
      </c>
      <c r="CN65" s="19">
        <v>1</v>
      </c>
      <c r="CO65" s="19">
        <v>0</v>
      </c>
      <c r="CP65" s="19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0</v>
      </c>
      <c r="CV65" s="19">
        <v>0</v>
      </c>
      <c r="CW65" s="19">
        <v>0</v>
      </c>
      <c r="CX65" s="19">
        <v>0</v>
      </c>
      <c r="CY65" s="19">
        <v>0</v>
      </c>
      <c r="CZ65" s="19">
        <v>0</v>
      </c>
      <c r="DA65" s="19">
        <v>0</v>
      </c>
      <c r="DB65" s="19">
        <v>0</v>
      </c>
      <c r="DC65" s="19">
        <v>0</v>
      </c>
      <c r="DD65" s="19">
        <v>0</v>
      </c>
      <c r="DE65" s="19">
        <v>0</v>
      </c>
      <c r="DF65" s="19">
        <v>0</v>
      </c>
      <c r="DG65" s="19">
        <v>0</v>
      </c>
      <c r="DH65" s="19">
        <v>0</v>
      </c>
      <c r="DI65" s="19">
        <v>0</v>
      </c>
      <c r="DJ65" s="21">
        <v>30805</v>
      </c>
      <c r="DK65" s="19">
        <v>0</v>
      </c>
      <c r="DL65" s="19">
        <v>0</v>
      </c>
      <c r="DM65" s="19">
        <v>0</v>
      </c>
      <c r="DN65" s="19">
        <v>0</v>
      </c>
      <c r="DO65" s="19">
        <v>0</v>
      </c>
      <c r="DP65" s="19">
        <v>0</v>
      </c>
      <c r="DQ65" s="19">
        <v>0</v>
      </c>
      <c r="DR65" s="19">
        <v>0</v>
      </c>
      <c r="DS65" s="19">
        <v>0</v>
      </c>
      <c r="DT65" s="22">
        <v>0.33</v>
      </c>
    </row>
    <row r="66" spans="1:124" x14ac:dyDescent="0.35">
      <c r="A66" s="19" t="s">
        <v>163</v>
      </c>
      <c r="B66" s="19" t="s">
        <v>189</v>
      </c>
      <c r="C66" s="19">
        <v>3805444.2360678897</v>
      </c>
      <c r="D66" s="19">
        <v>608871.07777086238</v>
      </c>
      <c r="E66" s="20">
        <v>6748622</v>
      </c>
      <c r="F66" s="19">
        <v>3122</v>
      </c>
      <c r="G66" s="19">
        <v>62000</v>
      </c>
      <c r="H66" s="19">
        <v>946</v>
      </c>
      <c r="I66" s="19">
        <v>6112617</v>
      </c>
      <c r="J66" s="19">
        <v>105</v>
      </c>
      <c r="K66" s="19">
        <v>4695</v>
      </c>
      <c r="L66" s="19">
        <v>351</v>
      </c>
      <c r="M66" s="19">
        <v>43289</v>
      </c>
      <c r="N66" s="19">
        <v>12723</v>
      </c>
      <c r="O66" s="19">
        <v>66</v>
      </c>
      <c r="P66" s="19">
        <v>1642</v>
      </c>
      <c r="Q66" s="19">
        <v>0</v>
      </c>
      <c r="R66" s="19">
        <v>163</v>
      </c>
      <c r="S66" s="19">
        <v>92</v>
      </c>
      <c r="T66" s="19">
        <v>18160</v>
      </c>
      <c r="U66" s="19">
        <v>467889</v>
      </c>
      <c r="V66" s="19">
        <v>310</v>
      </c>
      <c r="W66" s="19">
        <v>271</v>
      </c>
      <c r="X66" s="19">
        <v>834</v>
      </c>
      <c r="Y66" s="19">
        <v>6413</v>
      </c>
      <c r="Z66" s="19">
        <v>6027</v>
      </c>
      <c r="AA66" s="19">
        <v>34</v>
      </c>
      <c r="AB66" s="19">
        <v>1150</v>
      </c>
      <c r="AC66" s="19">
        <v>5723</v>
      </c>
      <c r="AD66" s="19">
        <v>139394.43153846153</v>
      </c>
      <c r="AE66" s="19">
        <v>61126.17</v>
      </c>
      <c r="AF66" s="19">
        <v>8657.7999999999993</v>
      </c>
      <c r="AG66" s="19">
        <v>33519</v>
      </c>
      <c r="AH66" s="19">
        <v>35991.461538461539</v>
      </c>
      <c r="AI66" s="19">
        <v>66</v>
      </c>
      <c r="AJ66" s="19">
        <v>34</v>
      </c>
      <c r="AK66" s="19">
        <v>132153</v>
      </c>
      <c r="AL66" s="19">
        <v>50939</v>
      </c>
      <c r="AM66" s="19">
        <v>8438</v>
      </c>
      <c r="AN66" s="19">
        <v>43651</v>
      </c>
      <c r="AO66" s="19">
        <v>28534</v>
      </c>
      <c r="AP66" s="19">
        <v>340</v>
      </c>
      <c r="AQ66" s="19">
        <v>251</v>
      </c>
      <c r="AR66" s="19">
        <v>134480</v>
      </c>
      <c r="AS66" s="19">
        <v>33519</v>
      </c>
      <c r="AT66" s="19">
        <v>10722</v>
      </c>
      <c r="AU66" s="19">
        <v>5179.9000000000005</v>
      </c>
      <c r="AV66" s="19">
        <v>1890</v>
      </c>
      <c r="AW66" s="19">
        <v>58500</v>
      </c>
      <c r="AX66" s="19">
        <v>5211</v>
      </c>
      <c r="AY66" s="19">
        <v>24524.104925787542</v>
      </c>
      <c r="AZ66" s="19">
        <v>163</v>
      </c>
      <c r="BA66" s="19">
        <v>73</v>
      </c>
      <c r="BB66" s="19">
        <v>1</v>
      </c>
      <c r="BC66" s="19">
        <v>3</v>
      </c>
      <c r="BD66" s="19">
        <v>240</v>
      </c>
      <c r="BE66" s="19">
        <v>159</v>
      </c>
      <c r="BF66" s="19">
        <v>57</v>
      </c>
      <c r="BG66" s="19">
        <v>2</v>
      </c>
      <c r="BH66" s="19">
        <v>1026</v>
      </c>
      <c r="BI66" s="19">
        <v>77</v>
      </c>
      <c r="BJ66" s="19">
        <v>77</v>
      </c>
      <c r="BK66" s="19">
        <v>325</v>
      </c>
      <c r="BL66" s="19">
        <v>19923</v>
      </c>
      <c r="BM66" s="19">
        <v>848</v>
      </c>
      <c r="BN66" s="19">
        <v>163</v>
      </c>
      <c r="BO66" s="19">
        <v>13762</v>
      </c>
      <c r="BP66" s="19">
        <v>0</v>
      </c>
      <c r="BQ66" s="19">
        <v>0</v>
      </c>
      <c r="BR66" s="19">
        <v>1</v>
      </c>
      <c r="BS66" s="19">
        <v>0</v>
      </c>
      <c r="BT66" s="19">
        <v>0</v>
      </c>
      <c r="BU66" s="19">
        <v>0</v>
      </c>
      <c r="BV66" s="19">
        <v>0</v>
      </c>
      <c r="BW66" s="19">
        <v>0</v>
      </c>
      <c r="BX66" s="19">
        <v>0</v>
      </c>
      <c r="BY66" s="19">
        <v>0</v>
      </c>
      <c r="BZ66" s="19">
        <v>1</v>
      </c>
      <c r="CA66" s="19">
        <v>1</v>
      </c>
      <c r="CB66" s="19">
        <v>0</v>
      </c>
      <c r="CC66" s="19">
        <v>0</v>
      </c>
      <c r="CD66" s="19">
        <v>0</v>
      </c>
      <c r="CE66" s="19">
        <v>0</v>
      </c>
      <c r="CF66" s="19">
        <v>1</v>
      </c>
      <c r="CG66" s="19">
        <v>1</v>
      </c>
      <c r="CH66" s="19">
        <v>1</v>
      </c>
      <c r="CI66" s="19">
        <v>1</v>
      </c>
      <c r="CJ66" s="19">
        <v>1</v>
      </c>
      <c r="CK66" s="19">
        <v>1</v>
      </c>
      <c r="CL66" s="19">
        <v>1</v>
      </c>
      <c r="CM66" s="19">
        <v>1</v>
      </c>
      <c r="CN66" s="19">
        <v>1</v>
      </c>
      <c r="CO66" s="19">
        <v>0</v>
      </c>
      <c r="CP66" s="19">
        <v>1</v>
      </c>
      <c r="CQ66" s="19">
        <v>1</v>
      </c>
      <c r="CR66" s="19">
        <v>1</v>
      </c>
      <c r="CS66" s="19">
        <v>1</v>
      </c>
      <c r="CT66" s="19">
        <v>1</v>
      </c>
      <c r="CU66" s="19">
        <v>1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9">
        <v>1</v>
      </c>
      <c r="DD66" s="19">
        <v>0</v>
      </c>
      <c r="DE66" s="19">
        <v>0</v>
      </c>
      <c r="DF66" s="19">
        <v>0</v>
      </c>
      <c r="DG66" s="19">
        <v>0</v>
      </c>
      <c r="DH66" s="19">
        <v>0</v>
      </c>
      <c r="DI66" s="19">
        <v>1</v>
      </c>
      <c r="DJ66" s="21">
        <v>30433</v>
      </c>
      <c r="DK66" s="19">
        <v>108909513</v>
      </c>
      <c r="DL66" s="19">
        <v>79624200</v>
      </c>
      <c r="DM66" s="19">
        <v>9200</v>
      </c>
      <c r="DN66" s="19">
        <v>4125629</v>
      </c>
      <c r="DO66" s="19">
        <v>1751236</v>
      </c>
      <c r="DP66" s="19">
        <v>10553788</v>
      </c>
      <c r="DQ66" s="19">
        <v>2477530</v>
      </c>
      <c r="DR66" s="19">
        <v>9030146</v>
      </c>
      <c r="DS66" s="19">
        <v>1337784</v>
      </c>
      <c r="DT66" s="22">
        <v>0.22</v>
      </c>
    </row>
    <row r="67" spans="1:124" x14ac:dyDescent="0.35">
      <c r="A67" s="19" t="s">
        <v>163</v>
      </c>
      <c r="B67" s="19" t="s">
        <v>190</v>
      </c>
      <c r="C67" s="19">
        <v>1763154.9645123777</v>
      </c>
      <c r="D67" s="19">
        <v>282104.79432198044</v>
      </c>
      <c r="E67" s="20">
        <v>3584948</v>
      </c>
      <c r="F67" s="19">
        <v>568</v>
      </c>
      <c r="G67" s="19">
        <v>3768</v>
      </c>
      <c r="H67" s="19">
        <v>354</v>
      </c>
      <c r="I67" s="19">
        <v>3437787</v>
      </c>
      <c r="J67" s="19">
        <v>45</v>
      </c>
      <c r="K67" s="19">
        <v>8600</v>
      </c>
      <c r="L67" s="19">
        <v>390</v>
      </c>
      <c r="M67" s="19">
        <v>19022</v>
      </c>
      <c r="N67" s="19">
        <v>7247</v>
      </c>
      <c r="O67" s="19">
        <v>0</v>
      </c>
      <c r="P67" s="19">
        <v>430</v>
      </c>
      <c r="Q67" s="19">
        <v>0</v>
      </c>
      <c r="R67" s="19">
        <v>104</v>
      </c>
      <c r="S67" s="19">
        <v>155</v>
      </c>
      <c r="T67" s="19">
        <v>9660</v>
      </c>
      <c r="U67" s="19">
        <v>78576</v>
      </c>
      <c r="V67" s="19">
        <v>78</v>
      </c>
      <c r="W67" s="19">
        <v>309</v>
      </c>
      <c r="X67" s="19">
        <v>3</v>
      </c>
      <c r="Y67" s="19">
        <v>5161</v>
      </c>
      <c r="Z67" s="19">
        <v>9663</v>
      </c>
      <c r="AA67" s="19">
        <v>0</v>
      </c>
      <c r="AB67" s="19">
        <v>20</v>
      </c>
      <c r="AC67" s="19">
        <v>3008</v>
      </c>
      <c r="AD67" s="19">
        <v>51620.577692307699</v>
      </c>
      <c r="AE67" s="19">
        <v>34377.870000000003</v>
      </c>
      <c r="AF67" s="19">
        <v>3804.4</v>
      </c>
      <c r="AG67" s="19">
        <v>7394</v>
      </c>
      <c r="AH67" s="19">
        <v>6044.3076923076924</v>
      </c>
      <c r="AI67" s="19">
        <v>0</v>
      </c>
      <c r="AJ67" s="19">
        <v>0</v>
      </c>
      <c r="AK67" s="19">
        <v>66012</v>
      </c>
      <c r="AL67" s="19">
        <v>28648</v>
      </c>
      <c r="AM67" s="19">
        <v>3942</v>
      </c>
      <c r="AN67" s="19">
        <v>25920</v>
      </c>
      <c r="AO67" s="19">
        <v>7502</v>
      </c>
      <c r="AP67" s="19">
        <v>0</v>
      </c>
      <c r="AQ67" s="19">
        <v>0</v>
      </c>
      <c r="AR67" s="19">
        <v>20563</v>
      </c>
      <c r="AS67" s="19">
        <v>7394</v>
      </c>
      <c r="AT67" s="19">
        <v>4167</v>
      </c>
      <c r="AU67" s="19">
        <v>147.80000000000001</v>
      </c>
      <c r="AV67" s="19">
        <v>320</v>
      </c>
      <c r="AW67" s="19">
        <v>19835</v>
      </c>
      <c r="AX67" s="19">
        <v>1229</v>
      </c>
      <c r="AY67" s="19">
        <v>0</v>
      </c>
      <c r="AZ67" s="19">
        <v>38</v>
      </c>
      <c r="BA67" s="19">
        <v>52</v>
      </c>
      <c r="BB67" s="19">
        <v>0</v>
      </c>
      <c r="BC67" s="19">
        <v>18</v>
      </c>
      <c r="BD67" s="19">
        <v>108</v>
      </c>
      <c r="BE67" s="19">
        <v>0</v>
      </c>
      <c r="BF67" s="19">
        <v>7</v>
      </c>
      <c r="BG67" s="19">
        <v>0</v>
      </c>
      <c r="BH67" s="19">
        <v>579</v>
      </c>
      <c r="BI67" s="19">
        <v>167</v>
      </c>
      <c r="BJ67" s="19">
        <v>0</v>
      </c>
      <c r="BK67" s="19">
        <v>0</v>
      </c>
      <c r="BL67" s="19">
        <v>6300</v>
      </c>
      <c r="BM67" s="19">
        <v>273</v>
      </c>
      <c r="BN67" s="19">
        <v>41</v>
      </c>
      <c r="BO67" s="19">
        <v>1674</v>
      </c>
      <c r="BP67" s="19">
        <v>0</v>
      </c>
      <c r="BQ67" s="19">
        <v>0</v>
      </c>
      <c r="BR67" s="19">
        <v>1</v>
      </c>
      <c r="BS67" s="19">
        <v>0</v>
      </c>
      <c r="BT67" s="19">
        <v>0</v>
      </c>
      <c r="BU67" s="19">
        <v>0</v>
      </c>
      <c r="BV67" s="19">
        <v>0</v>
      </c>
      <c r="BW67" s="19">
        <v>0</v>
      </c>
      <c r="BX67" s="19">
        <v>0</v>
      </c>
      <c r="BY67" s="19">
        <v>0</v>
      </c>
      <c r="BZ67" s="19">
        <v>0</v>
      </c>
      <c r="CA67" s="19">
        <v>1</v>
      </c>
      <c r="CB67" s="19">
        <v>0</v>
      </c>
      <c r="CC67" s="19">
        <v>0</v>
      </c>
      <c r="CD67" s="19">
        <v>0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19">
        <v>0</v>
      </c>
      <c r="CL67" s="19">
        <v>0</v>
      </c>
      <c r="CM67" s="19">
        <v>0</v>
      </c>
      <c r="CN67" s="19">
        <v>0</v>
      </c>
      <c r="CO67" s="19">
        <v>0</v>
      </c>
      <c r="CP67" s="19">
        <v>1</v>
      </c>
      <c r="CQ67" s="19">
        <v>1</v>
      </c>
      <c r="CR67" s="19">
        <v>1</v>
      </c>
      <c r="CS67" s="19">
        <v>1</v>
      </c>
      <c r="CT67" s="19">
        <v>0</v>
      </c>
      <c r="CU67" s="19">
        <v>0</v>
      </c>
      <c r="CV67" s="19">
        <v>0</v>
      </c>
      <c r="CW67" s="19">
        <v>0</v>
      </c>
      <c r="CX67" s="19">
        <v>0</v>
      </c>
      <c r="CY67" s="19">
        <v>0</v>
      </c>
      <c r="CZ67" s="19">
        <v>0</v>
      </c>
      <c r="DA67" s="19">
        <v>0</v>
      </c>
      <c r="DB67" s="19">
        <v>0</v>
      </c>
      <c r="DC67" s="19">
        <v>0</v>
      </c>
      <c r="DD67" s="19">
        <v>0</v>
      </c>
      <c r="DE67" s="19">
        <v>0</v>
      </c>
      <c r="DF67" s="19">
        <v>0</v>
      </c>
      <c r="DG67" s="19">
        <v>0</v>
      </c>
      <c r="DH67" s="19">
        <v>0</v>
      </c>
      <c r="DI67" s="19">
        <v>0</v>
      </c>
      <c r="DJ67" s="21">
        <v>30622</v>
      </c>
      <c r="DK67" s="19">
        <v>53220503</v>
      </c>
      <c r="DL67" s="19">
        <v>32596609</v>
      </c>
      <c r="DM67" s="19">
        <v>0</v>
      </c>
      <c r="DN67" s="19">
        <v>2019998</v>
      </c>
      <c r="DO67" s="19">
        <v>956306</v>
      </c>
      <c r="DP67" s="19">
        <v>15036296</v>
      </c>
      <c r="DQ67" s="19">
        <v>707046</v>
      </c>
      <c r="DR67" s="19">
        <v>1824621</v>
      </c>
      <c r="DS67" s="19">
        <v>79627</v>
      </c>
      <c r="DT67" s="22">
        <v>0.28000000000000003</v>
      </c>
    </row>
    <row r="68" spans="1:124" x14ac:dyDescent="0.35">
      <c r="A68" s="19" t="s">
        <v>163</v>
      </c>
      <c r="B68" s="19" t="s">
        <v>191</v>
      </c>
      <c r="C68" s="19">
        <v>2104040.1540153818</v>
      </c>
      <c r="D68" s="19">
        <v>336646.42464246112</v>
      </c>
      <c r="E68" s="20">
        <v>2322586</v>
      </c>
      <c r="F68" s="19">
        <v>1193</v>
      </c>
      <c r="G68" s="19">
        <v>19830</v>
      </c>
      <c r="H68" s="19">
        <v>711</v>
      </c>
      <c r="I68" s="19">
        <v>2163442</v>
      </c>
      <c r="J68" s="19">
        <v>203</v>
      </c>
      <c r="K68" s="19">
        <v>2207</v>
      </c>
      <c r="L68" s="19">
        <v>85</v>
      </c>
      <c r="M68" s="19">
        <v>27239</v>
      </c>
      <c r="N68" s="19">
        <v>8143</v>
      </c>
      <c r="O68" s="19">
        <v>0</v>
      </c>
      <c r="P68" s="19">
        <v>547</v>
      </c>
      <c r="Q68" s="19">
        <v>0</v>
      </c>
      <c r="R68" s="19">
        <v>76</v>
      </c>
      <c r="S68" s="19">
        <v>171</v>
      </c>
      <c r="T68" s="19">
        <v>5320</v>
      </c>
      <c r="U68" s="19">
        <v>75032</v>
      </c>
      <c r="V68" s="19">
        <v>141</v>
      </c>
      <c r="W68" s="19">
        <v>176</v>
      </c>
      <c r="X68" s="19">
        <v>56</v>
      </c>
      <c r="Y68" s="19">
        <v>7137</v>
      </c>
      <c r="Z68" s="19">
        <v>7086</v>
      </c>
      <c r="AA68" s="19">
        <v>0</v>
      </c>
      <c r="AB68" s="19">
        <v>914</v>
      </c>
      <c r="AC68" s="19">
        <v>2877</v>
      </c>
      <c r="AD68" s="19">
        <v>40401.912307692306</v>
      </c>
      <c r="AE68" s="19">
        <v>21634.42</v>
      </c>
      <c r="AF68" s="19">
        <v>5447.8</v>
      </c>
      <c r="AG68" s="19">
        <v>7548</v>
      </c>
      <c r="AH68" s="19">
        <v>5771.6923076923076</v>
      </c>
      <c r="AI68" s="19">
        <v>0</v>
      </c>
      <c r="AJ68" s="19">
        <v>0</v>
      </c>
      <c r="AK68" s="19">
        <v>61577</v>
      </c>
      <c r="AL68" s="19">
        <v>18029</v>
      </c>
      <c r="AM68" s="19">
        <v>5419</v>
      </c>
      <c r="AN68" s="19">
        <v>30303</v>
      </c>
      <c r="AO68" s="19">
        <v>7826</v>
      </c>
      <c r="AP68" s="19">
        <v>0</v>
      </c>
      <c r="AQ68" s="19">
        <v>0</v>
      </c>
      <c r="AR68" s="19">
        <v>43559</v>
      </c>
      <c r="AS68" s="19">
        <v>7548</v>
      </c>
      <c r="AT68" s="19">
        <v>8905</v>
      </c>
      <c r="AU68" s="19">
        <v>1571.8999999999996</v>
      </c>
      <c r="AV68" s="19">
        <v>20</v>
      </c>
      <c r="AW68" s="19">
        <v>19382</v>
      </c>
      <c r="AX68" s="19">
        <v>1631</v>
      </c>
      <c r="AY68" s="19">
        <v>0</v>
      </c>
      <c r="AZ68" s="19">
        <v>20</v>
      </c>
      <c r="BA68" s="19">
        <v>64</v>
      </c>
      <c r="BB68" s="19">
        <v>1</v>
      </c>
      <c r="BC68" s="19">
        <v>2</v>
      </c>
      <c r="BD68" s="19">
        <v>87</v>
      </c>
      <c r="BE68" s="19">
        <v>0</v>
      </c>
      <c r="BF68" s="19">
        <v>20</v>
      </c>
      <c r="BG68" s="19">
        <v>2</v>
      </c>
      <c r="BH68" s="19">
        <v>461</v>
      </c>
      <c r="BI68" s="19">
        <v>73</v>
      </c>
      <c r="BJ68" s="19">
        <v>121</v>
      </c>
      <c r="BK68" s="19">
        <v>420</v>
      </c>
      <c r="BL68" s="19">
        <v>3633</v>
      </c>
      <c r="BM68" s="19">
        <v>221</v>
      </c>
      <c r="BN68" s="19">
        <v>27</v>
      </c>
      <c r="BO68" s="19">
        <v>1526</v>
      </c>
      <c r="BP68" s="19">
        <v>0</v>
      </c>
      <c r="BQ68" s="19">
        <v>0</v>
      </c>
      <c r="BR68" s="19">
        <v>1</v>
      </c>
      <c r="BS68" s="19">
        <v>0</v>
      </c>
      <c r="BT68" s="19">
        <v>0</v>
      </c>
      <c r="BU68" s="19">
        <v>0</v>
      </c>
      <c r="BV68" s="19">
        <v>0</v>
      </c>
      <c r="BW68" s="19">
        <v>1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1</v>
      </c>
      <c r="CQ68" s="19">
        <v>1</v>
      </c>
      <c r="CR68" s="19">
        <v>1</v>
      </c>
      <c r="CS68" s="19">
        <v>1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9">
        <v>0</v>
      </c>
      <c r="DI68" s="19">
        <v>0</v>
      </c>
      <c r="DJ68" s="21">
        <v>30718</v>
      </c>
      <c r="DK68" s="19">
        <v>44486598</v>
      </c>
      <c r="DL68" s="19">
        <v>31660199</v>
      </c>
      <c r="DM68" s="19">
        <v>0</v>
      </c>
      <c r="DN68" s="19">
        <v>2606557</v>
      </c>
      <c r="DO68" s="19">
        <v>653928</v>
      </c>
      <c r="DP68" s="19">
        <v>6424104</v>
      </c>
      <c r="DQ68" s="19">
        <v>866740</v>
      </c>
      <c r="DR68" s="19">
        <v>1850742</v>
      </c>
      <c r="DS68" s="19">
        <v>424328</v>
      </c>
      <c r="DT68" s="22">
        <v>0.31</v>
      </c>
    </row>
    <row r="69" spans="1:124" x14ac:dyDescent="0.35">
      <c r="A69" s="19" t="s">
        <v>163</v>
      </c>
      <c r="B69" s="19" t="s">
        <v>192</v>
      </c>
      <c r="C69" s="19">
        <v>3791341.1187754991</v>
      </c>
      <c r="D69" s="19">
        <v>606614.5790040798</v>
      </c>
      <c r="E69" s="20">
        <v>16305289</v>
      </c>
      <c r="F69" s="19">
        <v>6100</v>
      </c>
      <c r="G69" s="19">
        <v>103055</v>
      </c>
      <c r="H69" s="19">
        <v>1258</v>
      </c>
      <c r="I69" s="19">
        <v>15642896</v>
      </c>
      <c r="J69" s="19">
        <v>570</v>
      </c>
      <c r="K69" s="19">
        <v>15499</v>
      </c>
      <c r="L69" s="19">
        <v>763</v>
      </c>
      <c r="M69" s="19">
        <v>42762</v>
      </c>
      <c r="N69" s="19">
        <v>37639</v>
      </c>
      <c r="O69" s="19">
        <v>0</v>
      </c>
      <c r="P69" s="19">
        <v>2253</v>
      </c>
      <c r="Q69" s="19">
        <v>0</v>
      </c>
      <c r="R69" s="19">
        <v>234</v>
      </c>
      <c r="S69" s="19">
        <v>898</v>
      </c>
      <c r="T69" s="19">
        <v>97680</v>
      </c>
      <c r="U69" s="19">
        <v>269256</v>
      </c>
      <c r="V69" s="19">
        <v>482</v>
      </c>
      <c r="W69" s="19">
        <v>1099</v>
      </c>
      <c r="X69" s="19">
        <v>268</v>
      </c>
      <c r="Y69" s="19">
        <v>16808</v>
      </c>
      <c r="Z69" s="19">
        <v>31339</v>
      </c>
      <c r="AA69" s="19">
        <v>15</v>
      </c>
      <c r="AB69" s="19">
        <v>1905</v>
      </c>
      <c r="AC69" s="19">
        <v>32510</v>
      </c>
      <c r="AD69" s="19">
        <v>216793.36</v>
      </c>
      <c r="AE69" s="19">
        <v>156428.96</v>
      </c>
      <c r="AF69" s="19">
        <v>8552.4</v>
      </c>
      <c r="AG69" s="19">
        <v>31085</v>
      </c>
      <c r="AH69" s="19">
        <v>20712</v>
      </c>
      <c r="AI69" s="19">
        <v>0</v>
      </c>
      <c r="AJ69" s="19">
        <v>15</v>
      </c>
      <c r="AK69" s="19">
        <v>301565</v>
      </c>
      <c r="AL69" s="19">
        <v>130358</v>
      </c>
      <c r="AM69" s="19">
        <v>9128</v>
      </c>
      <c r="AN69" s="19">
        <v>130467</v>
      </c>
      <c r="AO69" s="19">
        <v>31462</v>
      </c>
      <c r="AP69" s="19">
        <v>150</v>
      </c>
      <c r="AQ69" s="19">
        <v>0</v>
      </c>
      <c r="AR69" s="19">
        <v>98674</v>
      </c>
      <c r="AS69" s="19">
        <v>31085</v>
      </c>
      <c r="AT69" s="19">
        <v>37548</v>
      </c>
      <c r="AU69" s="19">
        <v>20265</v>
      </c>
      <c r="AV69" s="19">
        <v>12643</v>
      </c>
      <c r="AW69" s="19">
        <v>31021</v>
      </c>
      <c r="AX69" s="19">
        <v>20036</v>
      </c>
      <c r="AY69" s="19">
        <v>0</v>
      </c>
      <c r="AZ69" s="19">
        <v>93</v>
      </c>
      <c r="BA69" s="19">
        <v>212</v>
      </c>
      <c r="BB69" s="19">
        <v>0</v>
      </c>
      <c r="BC69" s="19">
        <v>15</v>
      </c>
      <c r="BD69" s="19">
        <v>320</v>
      </c>
      <c r="BE69" s="19">
        <v>0</v>
      </c>
      <c r="BF69" s="19">
        <v>167</v>
      </c>
      <c r="BG69" s="19">
        <v>21</v>
      </c>
      <c r="BH69" s="19">
        <v>941</v>
      </c>
      <c r="BI69" s="19">
        <v>945</v>
      </c>
      <c r="BJ69" s="19">
        <v>14</v>
      </c>
      <c r="BK69" s="19">
        <v>56</v>
      </c>
      <c r="BL69" s="19">
        <v>188099</v>
      </c>
      <c r="BM69" s="19">
        <v>8785</v>
      </c>
      <c r="BN69" s="19">
        <v>610</v>
      </c>
      <c r="BO69" s="19">
        <v>21032</v>
      </c>
      <c r="BP69" s="19">
        <v>0</v>
      </c>
      <c r="BQ69" s="19">
        <v>0</v>
      </c>
      <c r="BR69" s="19">
        <v>1</v>
      </c>
      <c r="BS69" s="19">
        <v>1</v>
      </c>
      <c r="BT69" s="19">
        <v>0</v>
      </c>
      <c r="BU69" s="19">
        <v>0</v>
      </c>
      <c r="BV69" s="19">
        <v>0</v>
      </c>
      <c r="BW69" s="19">
        <v>0</v>
      </c>
      <c r="BX69" s="19">
        <v>0</v>
      </c>
      <c r="BY69" s="19">
        <v>0</v>
      </c>
      <c r="BZ69" s="19">
        <v>1</v>
      </c>
      <c r="CA69" s="19">
        <v>1</v>
      </c>
      <c r="CB69" s="19">
        <v>0</v>
      </c>
      <c r="CC69" s="19">
        <v>0</v>
      </c>
      <c r="CD69" s="19">
        <v>0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0</v>
      </c>
      <c r="CN69" s="19">
        <v>0</v>
      </c>
      <c r="CO69" s="19">
        <v>0</v>
      </c>
      <c r="CP69" s="19">
        <v>1</v>
      </c>
      <c r="CQ69" s="19">
        <v>1</v>
      </c>
      <c r="CR69" s="19">
        <v>1</v>
      </c>
      <c r="CS69" s="19">
        <v>1</v>
      </c>
      <c r="CT69" s="19">
        <v>1</v>
      </c>
      <c r="CU69" s="19">
        <v>1</v>
      </c>
      <c r="CV69" s="19">
        <v>1</v>
      </c>
      <c r="CW69" s="19">
        <v>0</v>
      </c>
      <c r="CX69" s="19">
        <v>0</v>
      </c>
      <c r="CY69" s="19">
        <v>0</v>
      </c>
      <c r="CZ69" s="19">
        <v>1</v>
      </c>
      <c r="DA69" s="19">
        <v>1</v>
      </c>
      <c r="DB69" s="19">
        <v>1</v>
      </c>
      <c r="DC69" s="19">
        <v>0</v>
      </c>
      <c r="DD69" s="19">
        <v>0</v>
      </c>
      <c r="DE69" s="19">
        <v>0</v>
      </c>
      <c r="DF69" s="19">
        <v>0</v>
      </c>
      <c r="DG69" s="19">
        <v>0</v>
      </c>
      <c r="DH69" s="19">
        <v>0</v>
      </c>
      <c r="DI69" s="19">
        <v>0</v>
      </c>
      <c r="DJ69" s="21">
        <v>30624</v>
      </c>
      <c r="DK69" s="19">
        <v>266763690</v>
      </c>
      <c r="DL69" s="19">
        <v>207709794</v>
      </c>
      <c r="DM69" s="19">
        <v>0</v>
      </c>
      <c r="DN69" s="19">
        <v>4729668</v>
      </c>
      <c r="DO69" s="19">
        <v>4915143</v>
      </c>
      <c r="DP69" s="19">
        <v>33075166</v>
      </c>
      <c r="DQ69" s="19">
        <v>6843505</v>
      </c>
      <c r="DR69" s="19">
        <v>7250355</v>
      </c>
      <c r="DS69" s="19">
        <v>2240059</v>
      </c>
      <c r="DT69" s="22">
        <v>0.26</v>
      </c>
    </row>
    <row r="70" spans="1:124" x14ac:dyDescent="0.35">
      <c r="A70" s="19" t="s">
        <v>163</v>
      </c>
      <c r="B70" s="19" t="s">
        <v>193</v>
      </c>
      <c r="C70" s="19">
        <v>2303789.5592633337</v>
      </c>
      <c r="D70" s="19">
        <v>368606.32948213338</v>
      </c>
      <c r="E70" s="20">
        <v>7752688</v>
      </c>
      <c r="F70" s="19">
        <v>3960</v>
      </c>
      <c r="G70" s="19">
        <v>40352</v>
      </c>
      <c r="H70" s="19">
        <v>0</v>
      </c>
      <c r="I70" s="19">
        <v>7235781</v>
      </c>
      <c r="J70" s="19">
        <v>255</v>
      </c>
      <c r="K70" s="19">
        <v>8241</v>
      </c>
      <c r="L70" s="19">
        <v>217</v>
      </c>
      <c r="M70" s="19">
        <v>26530</v>
      </c>
      <c r="N70" s="19">
        <v>15264</v>
      </c>
      <c r="O70" s="19">
        <v>0</v>
      </c>
      <c r="P70" s="19">
        <v>2721</v>
      </c>
      <c r="Q70" s="19">
        <v>0</v>
      </c>
      <c r="R70" s="19">
        <v>203</v>
      </c>
      <c r="S70" s="19">
        <v>464</v>
      </c>
      <c r="T70" s="19">
        <v>163580</v>
      </c>
      <c r="U70" s="19">
        <v>180171</v>
      </c>
      <c r="V70" s="19">
        <v>295</v>
      </c>
      <c r="W70" s="19">
        <v>94</v>
      </c>
      <c r="X70" s="19">
        <v>0</v>
      </c>
      <c r="Y70" s="19">
        <v>5937</v>
      </c>
      <c r="Z70" s="19">
        <v>10673</v>
      </c>
      <c r="AA70" s="19">
        <v>0</v>
      </c>
      <c r="AB70" s="19">
        <v>0</v>
      </c>
      <c r="AC70" s="19">
        <v>57950</v>
      </c>
      <c r="AD70" s="19">
        <v>106071.11769230769</v>
      </c>
      <c r="AE70" s="19">
        <v>72357.81</v>
      </c>
      <c r="AF70" s="19">
        <v>5306</v>
      </c>
      <c r="AG70" s="19">
        <v>14548</v>
      </c>
      <c r="AH70" s="19">
        <v>13859.307692307691</v>
      </c>
      <c r="AI70" s="19">
        <v>0</v>
      </c>
      <c r="AJ70" s="19">
        <v>0</v>
      </c>
      <c r="AK70" s="19">
        <v>133140</v>
      </c>
      <c r="AL70" s="19">
        <v>60298</v>
      </c>
      <c r="AM70" s="19">
        <v>5800</v>
      </c>
      <c r="AN70" s="19">
        <v>53049</v>
      </c>
      <c r="AO70" s="19">
        <v>13993</v>
      </c>
      <c r="AP70" s="19">
        <v>0</v>
      </c>
      <c r="AQ70" s="19">
        <v>0</v>
      </c>
      <c r="AR70" s="19">
        <v>47131</v>
      </c>
      <c r="AS70" s="19">
        <v>14548</v>
      </c>
      <c r="AT70" s="19">
        <v>23839</v>
      </c>
      <c r="AU70" s="19">
        <v>9638.2000000000007</v>
      </c>
      <c r="AV70" s="19">
        <v>8365</v>
      </c>
      <c r="AW70" s="19">
        <v>12592</v>
      </c>
      <c r="AX70" s="19">
        <v>9716</v>
      </c>
      <c r="AY70" s="19">
        <v>6602</v>
      </c>
      <c r="AZ70" s="19">
        <v>124</v>
      </c>
      <c r="BA70" s="19">
        <v>139</v>
      </c>
      <c r="BB70" s="19">
        <v>1</v>
      </c>
      <c r="BC70" s="19">
        <v>1</v>
      </c>
      <c r="BD70" s="19">
        <v>265</v>
      </c>
      <c r="BE70" s="19">
        <v>99</v>
      </c>
      <c r="BF70" s="19">
        <v>124</v>
      </c>
      <c r="BG70" s="19">
        <v>5</v>
      </c>
      <c r="BH70" s="19">
        <v>612</v>
      </c>
      <c r="BI70" s="19">
        <v>219</v>
      </c>
      <c r="BJ70" s="19">
        <v>0</v>
      </c>
      <c r="BK70" s="19">
        <v>0</v>
      </c>
      <c r="BL70" s="19">
        <v>36772</v>
      </c>
      <c r="BM70" s="19">
        <v>1576</v>
      </c>
      <c r="BN70" s="19">
        <v>153</v>
      </c>
      <c r="BO70" s="19">
        <v>12296</v>
      </c>
      <c r="BP70" s="19">
        <v>0</v>
      </c>
      <c r="BQ70" s="19">
        <v>0</v>
      </c>
      <c r="BR70" s="19">
        <v>1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9">
        <v>0</v>
      </c>
      <c r="BY70" s="19">
        <v>0</v>
      </c>
      <c r="BZ70" s="19">
        <v>1</v>
      </c>
      <c r="CA70" s="19">
        <v>1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1</v>
      </c>
      <c r="CQ70" s="19">
        <v>1</v>
      </c>
      <c r="CR70" s="19">
        <v>1</v>
      </c>
      <c r="CS70" s="19">
        <v>1</v>
      </c>
      <c r="CT70" s="19">
        <v>1</v>
      </c>
      <c r="CU70" s="19">
        <v>1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9">
        <v>0</v>
      </c>
      <c r="DI70" s="19">
        <v>0</v>
      </c>
      <c r="DJ70" s="21">
        <v>30425</v>
      </c>
      <c r="DK70" s="19">
        <v>120073580</v>
      </c>
      <c r="DL70" s="19">
        <v>86424048</v>
      </c>
      <c r="DM70" s="19">
        <v>0</v>
      </c>
      <c r="DN70" s="19">
        <v>2897146</v>
      </c>
      <c r="DO70" s="19">
        <v>2159707</v>
      </c>
      <c r="DP70" s="19">
        <v>14963261</v>
      </c>
      <c r="DQ70" s="19">
        <v>8860214</v>
      </c>
      <c r="DR70" s="19">
        <v>3889077</v>
      </c>
      <c r="DS70" s="19">
        <v>880127</v>
      </c>
      <c r="DT70" s="22">
        <v>0.22</v>
      </c>
    </row>
    <row r="71" spans="1:124" x14ac:dyDescent="0.35">
      <c r="A71" s="19" t="s">
        <v>163</v>
      </c>
      <c r="B71" s="19" t="s">
        <v>194</v>
      </c>
      <c r="C71" s="19">
        <v>6001350.3943044562</v>
      </c>
      <c r="D71" s="19">
        <v>960216.06308871298</v>
      </c>
      <c r="E71" s="20">
        <v>11583241</v>
      </c>
      <c r="F71" s="19">
        <v>326</v>
      </c>
      <c r="G71" s="19">
        <v>20984</v>
      </c>
      <c r="H71" s="19">
        <v>1895</v>
      </c>
      <c r="I71" s="19">
        <v>10857975</v>
      </c>
      <c r="J71" s="19">
        <v>0</v>
      </c>
      <c r="K71" s="19">
        <v>20039</v>
      </c>
      <c r="L71" s="19">
        <v>1481</v>
      </c>
      <c r="M71" s="19">
        <v>95998</v>
      </c>
      <c r="N71" s="19">
        <v>15512</v>
      </c>
      <c r="O71" s="19">
        <v>0</v>
      </c>
      <c r="P71" s="19">
        <v>16</v>
      </c>
      <c r="Q71" s="19">
        <v>0</v>
      </c>
      <c r="R71" s="19">
        <v>168</v>
      </c>
      <c r="S71" s="19">
        <v>1</v>
      </c>
      <c r="T71" s="19">
        <v>1520</v>
      </c>
      <c r="U71" s="19">
        <v>543191</v>
      </c>
      <c r="V71" s="19">
        <v>0</v>
      </c>
      <c r="W71" s="19">
        <v>1575</v>
      </c>
      <c r="X71" s="19">
        <v>514</v>
      </c>
      <c r="Y71" s="19">
        <v>7166</v>
      </c>
      <c r="Z71" s="19">
        <v>14808</v>
      </c>
      <c r="AA71" s="19">
        <v>56</v>
      </c>
      <c r="AB71" s="19">
        <v>10</v>
      </c>
      <c r="AC71" s="19">
        <v>6</v>
      </c>
      <c r="AD71" s="19">
        <v>179015.2730769231</v>
      </c>
      <c r="AE71" s="19">
        <v>108579.75</v>
      </c>
      <c r="AF71" s="19">
        <v>19199.599999999999</v>
      </c>
      <c r="AG71" s="19">
        <v>9396</v>
      </c>
      <c r="AH71" s="19">
        <v>41783.923076923078</v>
      </c>
      <c r="AI71" s="19">
        <v>0</v>
      </c>
      <c r="AJ71" s="19">
        <v>56</v>
      </c>
      <c r="AK71" s="19">
        <v>205787</v>
      </c>
      <c r="AL71" s="19">
        <v>90483</v>
      </c>
      <c r="AM71" s="19">
        <v>20127</v>
      </c>
      <c r="AN71" s="19">
        <v>59165</v>
      </c>
      <c r="AO71" s="19">
        <v>35452</v>
      </c>
      <c r="AP71" s="19">
        <v>560</v>
      </c>
      <c r="AQ71" s="19">
        <v>0</v>
      </c>
      <c r="AR71" s="19">
        <v>31946</v>
      </c>
      <c r="AS71" s="19">
        <v>9396</v>
      </c>
      <c r="AT71" s="19">
        <v>3952</v>
      </c>
      <c r="AU71" s="19">
        <v>555</v>
      </c>
      <c r="AV71" s="19">
        <v>127</v>
      </c>
      <c r="AW71" s="19">
        <v>26512</v>
      </c>
      <c r="AX71" s="19">
        <v>657</v>
      </c>
      <c r="AY71" s="19">
        <v>37357.5490007884</v>
      </c>
      <c r="AZ71" s="19">
        <v>249</v>
      </c>
      <c r="BA71" s="19">
        <v>109</v>
      </c>
      <c r="BB71" s="19">
        <v>1</v>
      </c>
      <c r="BC71" s="19">
        <v>6</v>
      </c>
      <c r="BD71" s="19">
        <v>365</v>
      </c>
      <c r="BE71" s="19">
        <v>176</v>
      </c>
      <c r="BF71" s="19">
        <v>34</v>
      </c>
      <c r="BG71" s="19">
        <v>2</v>
      </c>
      <c r="BH71" s="19">
        <v>1979</v>
      </c>
      <c r="BI71" s="19">
        <v>460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1</v>
      </c>
      <c r="BP71" s="19">
        <v>0</v>
      </c>
      <c r="BQ71" s="19">
        <v>0</v>
      </c>
      <c r="BR71" s="19">
        <v>1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>
        <v>0</v>
      </c>
      <c r="BZ71" s="19">
        <v>1</v>
      </c>
      <c r="CA71" s="19">
        <v>1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1</v>
      </c>
      <c r="CI71" s="19">
        <v>1</v>
      </c>
      <c r="CJ71" s="19">
        <v>1</v>
      </c>
      <c r="CK71" s="19">
        <v>1</v>
      </c>
      <c r="CL71" s="19">
        <v>1</v>
      </c>
      <c r="CM71" s="19">
        <v>1</v>
      </c>
      <c r="CN71" s="19">
        <v>1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1</v>
      </c>
      <c r="CU71" s="19">
        <v>1</v>
      </c>
      <c r="CV71" s="19">
        <v>0</v>
      </c>
      <c r="CW71" s="19">
        <v>0</v>
      </c>
      <c r="CX71" s="19">
        <v>0</v>
      </c>
      <c r="CY71" s="19">
        <v>0</v>
      </c>
      <c r="CZ71" s="19">
        <v>0</v>
      </c>
      <c r="DA71" s="19">
        <v>0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21">
        <v>30336</v>
      </c>
      <c r="DK71" s="19">
        <v>174945343</v>
      </c>
      <c r="DL71" s="19">
        <v>114689898</v>
      </c>
      <c r="DM71" s="19">
        <v>0</v>
      </c>
      <c r="DN71" s="19">
        <v>9951047</v>
      </c>
      <c r="DO71" s="19">
        <v>2566789</v>
      </c>
      <c r="DP71" s="19">
        <v>36235574</v>
      </c>
      <c r="DQ71" s="19">
        <v>99026</v>
      </c>
      <c r="DR71" s="19">
        <v>10951298</v>
      </c>
      <c r="DS71" s="19">
        <v>451711</v>
      </c>
      <c r="DT71" s="22">
        <v>0.22</v>
      </c>
    </row>
    <row r="72" spans="1:124" x14ac:dyDescent="0.35">
      <c r="A72" s="19" t="s">
        <v>163</v>
      </c>
      <c r="B72" s="19" t="s">
        <v>195</v>
      </c>
      <c r="C72" s="19">
        <v>1462983.5609031101</v>
      </c>
      <c r="D72" s="19">
        <v>234077.36974449799</v>
      </c>
      <c r="E72" s="20">
        <v>3439610</v>
      </c>
      <c r="F72" s="19">
        <v>604</v>
      </c>
      <c r="G72" s="19">
        <v>13563</v>
      </c>
      <c r="H72" s="19">
        <v>379</v>
      </c>
      <c r="I72" s="19">
        <v>2999557</v>
      </c>
      <c r="J72" s="19">
        <v>7</v>
      </c>
      <c r="K72" s="19">
        <v>3048</v>
      </c>
      <c r="L72" s="19">
        <v>38</v>
      </c>
      <c r="M72" s="19">
        <v>49879</v>
      </c>
      <c r="N72" s="19">
        <v>4049</v>
      </c>
      <c r="O72" s="19">
        <v>0</v>
      </c>
      <c r="P72" s="19">
        <v>364</v>
      </c>
      <c r="Q72" s="19">
        <v>0</v>
      </c>
      <c r="R72" s="19">
        <v>62</v>
      </c>
      <c r="S72" s="19">
        <v>10</v>
      </c>
      <c r="T72" s="19">
        <v>22500</v>
      </c>
      <c r="U72" s="19">
        <v>319830</v>
      </c>
      <c r="V72" s="19">
        <v>9</v>
      </c>
      <c r="W72" s="19">
        <v>86</v>
      </c>
      <c r="X72" s="19">
        <v>16</v>
      </c>
      <c r="Y72" s="19">
        <v>3079</v>
      </c>
      <c r="Z72" s="19">
        <v>15692</v>
      </c>
      <c r="AA72" s="19">
        <v>3</v>
      </c>
      <c r="AB72" s="19">
        <v>600</v>
      </c>
      <c r="AC72" s="19">
        <v>6235</v>
      </c>
      <c r="AD72" s="19">
        <v>66285.677692307683</v>
      </c>
      <c r="AE72" s="19">
        <v>29995.57</v>
      </c>
      <c r="AF72" s="19">
        <v>9975.7999999999993</v>
      </c>
      <c r="AG72" s="19">
        <v>1709</v>
      </c>
      <c r="AH72" s="19">
        <v>24602.307692307691</v>
      </c>
      <c r="AI72" s="19">
        <v>0</v>
      </c>
      <c r="AJ72" s="19">
        <v>3</v>
      </c>
      <c r="AK72" s="19">
        <v>69005</v>
      </c>
      <c r="AL72" s="19">
        <v>24995</v>
      </c>
      <c r="AM72" s="19">
        <v>11250</v>
      </c>
      <c r="AN72" s="19">
        <v>14292</v>
      </c>
      <c r="AO72" s="19">
        <v>18438</v>
      </c>
      <c r="AP72" s="19">
        <v>30</v>
      </c>
      <c r="AQ72" s="19">
        <v>0</v>
      </c>
      <c r="AR72" s="19">
        <v>7250</v>
      </c>
      <c r="AS72" s="19">
        <v>1709</v>
      </c>
      <c r="AT72" s="19">
        <v>150</v>
      </c>
      <c r="AU72" s="19">
        <v>312</v>
      </c>
      <c r="AV72" s="19">
        <v>108</v>
      </c>
      <c r="AW72" s="19">
        <v>3691</v>
      </c>
      <c r="AX72" s="19">
        <v>493</v>
      </c>
      <c r="AY72" s="19">
        <v>14358</v>
      </c>
      <c r="AZ72" s="19">
        <v>60</v>
      </c>
      <c r="BA72" s="19">
        <v>13</v>
      </c>
      <c r="BB72" s="19">
        <v>12</v>
      </c>
      <c r="BC72" s="19">
        <v>2</v>
      </c>
      <c r="BD72" s="19">
        <v>87</v>
      </c>
      <c r="BE72" s="19">
        <v>73</v>
      </c>
      <c r="BF72" s="19">
        <v>19</v>
      </c>
      <c r="BG72" s="19">
        <v>3</v>
      </c>
      <c r="BH72" s="19">
        <v>458</v>
      </c>
      <c r="BI72" s="19">
        <v>49</v>
      </c>
      <c r="BJ72" s="19">
        <v>356</v>
      </c>
      <c r="BK72" s="19">
        <v>215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1</v>
      </c>
      <c r="BS72" s="19">
        <v>0</v>
      </c>
      <c r="BT72" s="19">
        <v>0</v>
      </c>
      <c r="BU72" s="19">
        <v>0</v>
      </c>
      <c r="BV72" s="19">
        <v>0</v>
      </c>
      <c r="BW72" s="19">
        <v>0</v>
      </c>
      <c r="BX72" s="19">
        <v>0</v>
      </c>
      <c r="BY72" s="19">
        <v>0</v>
      </c>
      <c r="BZ72" s="19">
        <v>1</v>
      </c>
      <c r="CA72" s="19">
        <v>1</v>
      </c>
      <c r="CB72" s="19">
        <v>0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1</v>
      </c>
      <c r="CI72" s="19">
        <v>1</v>
      </c>
      <c r="CJ72" s="19">
        <v>1</v>
      </c>
      <c r="CK72" s="19">
        <v>1</v>
      </c>
      <c r="CL72" s="19">
        <v>1</v>
      </c>
      <c r="CM72" s="19">
        <v>1</v>
      </c>
      <c r="CN72" s="19">
        <v>1</v>
      </c>
      <c r="CO72" s="19">
        <v>0</v>
      </c>
      <c r="CP72" s="19">
        <v>0</v>
      </c>
      <c r="CQ72" s="19">
        <v>0</v>
      </c>
      <c r="CR72" s="19">
        <v>0</v>
      </c>
      <c r="CS72" s="19">
        <v>0</v>
      </c>
      <c r="CT72" s="19">
        <v>1</v>
      </c>
      <c r="CU72" s="19">
        <v>1</v>
      </c>
      <c r="CV72" s="19">
        <v>0</v>
      </c>
      <c r="CW72" s="19">
        <v>0</v>
      </c>
      <c r="CX72" s="19">
        <v>0</v>
      </c>
      <c r="CY72" s="19">
        <v>0</v>
      </c>
      <c r="CZ72" s="19">
        <v>0</v>
      </c>
      <c r="DA72" s="19">
        <v>0</v>
      </c>
      <c r="DB72" s="19">
        <v>0</v>
      </c>
      <c r="DC72" s="19">
        <v>0</v>
      </c>
      <c r="DD72" s="19">
        <v>0</v>
      </c>
      <c r="DE72" s="19">
        <v>0</v>
      </c>
      <c r="DF72" s="19">
        <v>0</v>
      </c>
      <c r="DG72" s="19">
        <v>0</v>
      </c>
      <c r="DH72" s="19">
        <v>0</v>
      </c>
      <c r="DI72" s="19">
        <v>1</v>
      </c>
      <c r="DJ72" s="21">
        <v>30431</v>
      </c>
      <c r="DK72" s="19">
        <v>60322550</v>
      </c>
      <c r="DL72" s="19">
        <v>38514880</v>
      </c>
      <c r="DM72" s="19">
        <v>0</v>
      </c>
      <c r="DN72" s="19">
        <v>5766566</v>
      </c>
      <c r="DO72" s="19">
        <v>562370</v>
      </c>
      <c r="DP72" s="19">
        <v>7974062</v>
      </c>
      <c r="DQ72" s="19">
        <v>1074422</v>
      </c>
      <c r="DR72" s="19">
        <v>6141043</v>
      </c>
      <c r="DS72" s="19">
        <v>289207</v>
      </c>
      <c r="DT72" s="22">
        <v>0.2</v>
      </c>
    </row>
    <row r="73" spans="1:124" x14ac:dyDescent="0.35">
      <c r="A73" s="19" t="s">
        <v>163</v>
      </c>
      <c r="B73" s="19" t="s">
        <v>196</v>
      </c>
      <c r="C73" s="19">
        <v>6196834.4612568207</v>
      </c>
      <c r="D73" s="19">
        <v>991493.51380109135</v>
      </c>
      <c r="E73" s="20">
        <v>91253316</v>
      </c>
      <c r="F73" s="19">
        <v>12006</v>
      </c>
      <c r="G73" s="19">
        <v>118626</v>
      </c>
      <c r="H73" s="19">
        <v>2610</v>
      </c>
      <c r="I73" s="19">
        <v>88789577</v>
      </c>
      <c r="J73" s="19">
        <v>1710</v>
      </c>
      <c r="K73" s="19">
        <v>23998</v>
      </c>
      <c r="L73" s="19">
        <v>3942</v>
      </c>
      <c r="M73" s="19">
        <v>217409</v>
      </c>
      <c r="N73" s="19">
        <v>73728</v>
      </c>
      <c r="O73" s="19">
        <v>49</v>
      </c>
      <c r="P73" s="19">
        <v>9213</v>
      </c>
      <c r="Q73" s="19">
        <v>516</v>
      </c>
      <c r="R73" s="19">
        <v>332</v>
      </c>
      <c r="S73" s="19">
        <v>2880</v>
      </c>
      <c r="T73" s="19">
        <v>125820</v>
      </c>
      <c r="U73" s="19">
        <v>1437403</v>
      </c>
      <c r="V73" s="19">
        <v>2042</v>
      </c>
      <c r="W73" s="19">
        <v>5454</v>
      </c>
      <c r="X73" s="19">
        <v>2420</v>
      </c>
      <c r="Y73" s="19">
        <v>51421</v>
      </c>
      <c r="Z73" s="19">
        <v>98548</v>
      </c>
      <c r="AA73" s="19">
        <v>106</v>
      </c>
      <c r="AB73" s="19">
        <v>230058</v>
      </c>
      <c r="AC73" s="19">
        <v>43448</v>
      </c>
      <c r="AD73" s="19">
        <v>1122607.0315384616</v>
      </c>
      <c r="AE73" s="19">
        <v>887895.77</v>
      </c>
      <c r="AF73" s="19">
        <v>43481.8</v>
      </c>
      <c r="AG73" s="19">
        <v>80505</v>
      </c>
      <c r="AH73" s="19">
        <v>110569.46153846153</v>
      </c>
      <c r="AI73" s="19">
        <v>49</v>
      </c>
      <c r="AJ73" s="19">
        <v>106</v>
      </c>
      <c r="AK73" s="19">
        <v>1068268</v>
      </c>
      <c r="AL73" s="19">
        <v>738412</v>
      </c>
      <c r="AM73" s="19">
        <v>33861</v>
      </c>
      <c r="AN73" s="19">
        <v>188039</v>
      </c>
      <c r="AO73" s="19">
        <v>106709</v>
      </c>
      <c r="AP73" s="19">
        <v>1060</v>
      </c>
      <c r="AQ73" s="19">
        <v>187</v>
      </c>
      <c r="AR73" s="19">
        <v>493551</v>
      </c>
      <c r="AS73" s="19">
        <v>80505</v>
      </c>
      <c r="AT73" s="19">
        <v>97688</v>
      </c>
      <c r="AU73" s="19">
        <v>42812.100000000108</v>
      </c>
      <c r="AV73" s="19">
        <v>18176</v>
      </c>
      <c r="AW73" s="19">
        <v>92356</v>
      </c>
      <c r="AX73" s="19">
        <v>48240</v>
      </c>
      <c r="AY73" s="19">
        <v>26449.610564563125</v>
      </c>
      <c r="AZ73" s="19">
        <v>1086</v>
      </c>
      <c r="BA73" s="19">
        <v>222</v>
      </c>
      <c r="BB73" s="19">
        <v>219</v>
      </c>
      <c r="BC73" s="19">
        <v>28</v>
      </c>
      <c r="BD73" s="19">
        <v>1555</v>
      </c>
      <c r="BE73" s="19">
        <v>449</v>
      </c>
      <c r="BF73" s="19">
        <v>140</v>
      </c>
      <c r="BG73" s="19">
        <v>5</v>
      </c>
      <c r="BH73" s="19">
        <v>2746</v>
      </c>
      <c r="BI73" s="19">
        <v>2856</v>
      </c>
      <c r="BJ73" s="19">
        <v>0</v>
      </c>
      <c r="BK73" s="19">
        <v>0</v>
      </c>
      <c r="BL73" s="19">
        <v>129214</v>
      </c>
      <c r="BM73" s="19">
        <v>6007</v>
      </c>
      <c r="BN73" s="19">
        <v>932</v>
      </c>
      <c r="BO73" s="19">
        <v>32961</v>
      </c>
      <c r="BP73" s="19">
        <v>0</v>
      </c>
      <c r="BQ73" s="19">
        <v>1</v>
      </c>
      <c r="BR73" s="19">
        <v>1</v>
      </c>
      <c r="BS73" s="19">
        <v>0</v>
      </c>
      <c r="BT73" s="19">
        <v>0</v>
      </c>
      <c r="BU73" s="19">
        <v>0</v>
      </c>
      <c r="BV73" s="19">
        <v>0</v>
      </c>
      <c r="BW73" s="19">
        <v>1</v>
      </c>
      <c r="BX73" s="19">
        <v>0</v>
      </c>
      <c r="BY73" s="19">
        <v>0</v>
      </c>
      <c r="BZ73" s="19">
        <v>0</v>
      </c>
      <c r="CA73" s="19">
        <v>0</v>
      </c>
      <c r="CB73" s="19">
        <v>0</v>
      </c>
      <c r="CC73" s="19">
        <v>0</v>
      </c>
      <c r="CD73" s="19">
        <v>0</v>
      </c>
      <c r="CE73" s="19">
        <v>0</v>
      </c>
      <c r="CF73" s="19">
        <v>0</v>
      </c>
      <c r="CG73" s="19">
        <v>0</v>
      </c>
      <c r="CH73" s="19">
        <v>1</v>
      </c>
      <c r="CI73" s="19">
        <v>1</v>
      </c>
      <c r="CJ73" s="19">
        <v>1</v>
      </c>
      <c r="CK73" s="19">
        <v>1</v>
      </c>
      <c r="CL73" s="19">
        <v>1</v>
      </c>
      <c r="CM73" s="19">
        <v>1</v>
      </c>
      <c r="CN73" s="19">
        <v>1</v>
      </c>
      <c r="CO73" s="19">
        <v>0</v>
      </c>
      <c r="CP73" s="19">
        <v>1</v>
      </c>
      <c r="CQ73" s="19">
        <v>1</v>
      </c>
      <c r="CR73" s="19">
        <v>1</v>
      </c>
      <c r="CS73" s="19">
        <v>1</v>
      </c>
      <c r="CT73" s="19">
        <v>1</v>
      </c>
      <c r="CU73" s="19">
        <v>1</v>
      </c>
      <c r="CV73" s="19">
        <v>1</v>
      </c>
      <c r="CW73" s="19">
        <v>1</v>
      </c>
      <c r="CX73" s="19">
        <v>1</v>
      </c>
      <c r="CY73" s="19">
        <v>0</v>
      </c>
      <c r="CZ73" s="19">
        <v>0</v>
      </c>
      <c r="DA73" s="19">
        <v>0</v>
      </c>
      <c r="DB73" s="19">
        <v>0</v>
      </c>
      <c r="DC73" s="19">
        <v>0</v>
      </c>
      <c r="DD73" s="19">
        <v>1</v>
      </c>
      <c r="DE73" s="19">
        <v>0</v>
      </c>
      <c r="DF73" s="19">
        <v>0</v>
      </c>
      <c r="DG73" s="19">
        <v>0</v>
      </c>
      <c r="DH73" s="19">
        <v>0</v>
      </c>
      <c r="DI73" s="19">
        <v>0</v>
      </c>
      <c r="DJ73" s="21">
        <v>30802</v>
      </c>
      <c r="DK73" s="19">
        <v>1031248704</v>
      </c>
      <c r="DL73" s="19">
        <v>847383157</v>
      </c>
      <c r="DM73" s="19">
        <v>13200</v>
      </c>
      <c r="DN73" s="19">
        <v>26089744</v>
      </c>
      <c r="DO73" s="19">
        <v>13621638</v>
      </c>
      <c r="DP73" s="19">
        <v>79444800</v>
      </c>
      <c r="DQ73" s="19">
        <v>27961138</v>
      </c>
      <c r="DR73" s="19">
        <v>34154791</v>
      </c>
      <c r="DS73" s="19">
        <v>2580236</v>
      </c>
      <c r="DT73" s="22">
        <v>0.33</v>
      </c>
    </row>
    <row r="74" spans="1:124" x14ac:dyDescent="0.35">
      <c r="A74" s="19" t="s">
        <v>163</v>
      </c>
      <c r="B74" s="19" t="s">
        <v>197</v>
      </c>
      <c r="C74" s="19">
        <v>3107939.0186971198</v>
      </c>
      <c r="D74" s="19">
        <v>497270.24299153918</v>
      </c>
      <c r="E74" s="20">
        <v>12350423</v>
      </c>
      <c r="F74" s="19">
        <v>574</v>
      </c>
      <c r="G74" s="19">
        <v>56684</v>
      </c>
      <c r="H74" s="19">
        <v>1083</v>
      </c>
      <c r="I74" s="19">
        <v>11894399</v>
      </c>
      <c r="J74" s="19">
        <v>124</v>
      </c>
      <c r="K74" s="19">
        <v>16064</v>
      </c>
      <c r="L74" s="19">
        <v>1916</v>
      </c>
      <c r="M74" s="19">
        <v>28846</v>
      </c>
      <c r="N74" s="19">
        <v>18133</v>
      </c>
      <c r="O74" s="19">
        <v>0</v>
      </c>
      <c r="P74" s="19">
        <v>185</v>
      </c>
      <c r="Q74" s="19">
        <v>0</v>
      </c>
      <c r="R74" s="19">
        <v>211</v>
      </c>
      <c r="S74" s="19">
        <v>160</v>
      </c>
      <c r="T74" s="19">
        <v>18160</v>
      </c>
      <c r="U74" s="19">
        <v>278971</v>
      </c>
      <c r="V74" s="19">
        <v>74</v>
      </c>
      <c r="W74" s="19">
        <v>798</v>
      </c>
      <c r="X74" s="19">
        <v>324</v>
      </c>
      <c r="Y74" s="19">
        <v>13764</v>
      </c>
      <c r="Z74" s="19">
        <v>21323</v>
      </c>
      <c r="AA74" s="19">
        <v>0</v>
      </c>
      <c r="AB74" s="19">
        <v>440</v>
      </c>
      <c r="AC74" s="19">
        <v>-1810</v>
      </c>
      <c r="AD74" s="19">
        <v>160798.49769230769</v>
      </c>
      <c r="AE74" s="19">
        <v>118943.99</v>
      </c>
      <c r="AF74" s="19">
        <v>5769.2</v>
      </c>
      <c r="AG74" s="19">
        <v>14626</v>
      </c>
      <c r="AH74" s="19">
        <v>21459.307692307691</v>
      </c>
      <c r="AI74" s="19">
        <v>0</v>
      </c>
      <c r="AJ74" s="19">
        <v>0</v>
      </c>
      <c r="AK74" s="19">
        <v>189844</v>
      </c>
      <c r="AL74" s="19">
        <v>99120</v>
      </c>
      <c r="AM74" s="19">
        <v>5857</v>
      </c>
      <c r="AN74" s="19">
        <v>62888</v>
      </c>
      <c r="AO74" s="19">
        <v>21979</v>
      </c>
      <c r="AP74" s="19">
        <v>0</v>
      </c>
      <c r="AQ74" s="19">
        <v>0</v>
      </c>
      <c r="AR74" s="19">
        <v>37139</v>
      </c>
      <c r="AS74" s="19">
        <v>14626</v>
      </c>
      <c r="AT74" s="19">
        <v>8657</v>
      </c>
      <c r="AU74" s="19">
        <v>2625.2</v>
      </c>
      <c r="AV74" s="19">
        <v>2220</v>
      </c>
      <c r="AW74" s="19">
        <v>15083</v>
      </c>
      <c r="AX74" s="19">
        <v>2806</v>
      </c>
      <c r="AY74" s="19">
        <v>0</v>
      </c>
      <c r="AZ74" s="19">
        <v>63</v>
      </c>
      <c r="BA74" s="19">
        <v>117</v>
      </c>
      <c r="BB74" s="19">
        <v>1</v>
      </c>
      <c r="BC74" s="19">
        <v>17</v>
      </c>
      <c r="BD74" s="19">
        <v>198</v>
      </c>
      <c r="BE74" s="19">
        <v>0</v>
      </c>
      <c r="BF74" s="19">
        <v>24</v>
      </c>
      <c r="BG74" s="19">
        <v>4</v>
      </c>
      <c r="BH74" s="19">
        <v>926</v>
      </c>
      <c r="BI74" s="19">
        <v>864</v>
      </c>
      <c r="BJ74" s="19">
        <v>22</v>
      </c>
      <c r="BK74" s="19">
        <v>237</v>
      </c>
      <c r="BL74" s="19">
        <v>4781</v>
      </c>
      <c r="BM74" s="19">
        <v>287</v>
      </c>
      <c r="BN74" s="19">
        <v>35</v>
      </c>
      <c r="BO74" s="19">
        <v>1186</v>
      </c>
      <c r="BP74" s="19">
        <v>0</v>
      </c>
      <c r="BQ74" s="19">
        <v>0</v>
      </c>
      <c r="BR74" s="19">
        <v>1</v>
      </c>
      <c r="BS74" s="19">
        <v>0</v>
      </c>
      <c r="BT74" s="19">
        <v>0</v>
      </c>
      <c r="BU74" s="19">
        <v>0</v>
      </c>
      <c r="BV74" s="19">
        <v>0</v>
      </c>
      <c r="BW74" s="19">
        <v>0</v>
      </c>
      <c r="BX74" s="19">
        <v>0</v>
      </c>
      <c r="BY74" s="19">
        <v>0</v>
      </c>
      <c r="BZ74" s="19">
        <v>1</v>
      </c>
      <c r="CA74" s="19">
        <v>1</v>
      </c>
      <c r="CB74" s="19">
        <v>0</v>
      </c>
      <c r="CC74" s="19">
        <v>0</v>
      </c>
      <c r="CD74" s="19">
        <v>0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19">
        <v>0</v>
      </c>
      <c r="CL74" s="19">
        <v>0</v>
      </c>
      <c r="CM74" s="19">
        <v>0</v>
      </c>
      <c r="CN74" s="19">
        <v>0</v>
      </c>
      <c r="CO74" s="19">
        <v>0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0</v>
      </c>
      <c r="CW74" s="19">
        <v>0</v>
      </c>
      <c r="CX74" s="19">
        <v>0</v>
      </c>
      <c r="CY74" s="19">
        <v>0</v>
      </c>
      <c r="CZ74" s="19">
        <v>0</v>
      </c>
      <c r="DA74" s="19">
        <v>0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>
        <v>0</v>
      </c>
      <c r="DH74" s="19">
        <v>0</v>
      </c>
      <c r="DI74" s="19">
        <v>0</v>
      </c>
      <c r="DJ74" s="21">
        <v>30423</v>
      </c>
      <c r="DK74" s="19">
        <v>197719874</v>
      </c>
      <c r="DL74" s="19">
        <v>149622141</v>
      </c>
      <c r="DM74" s="19">
        <v>0</v>
      </c>
      <c r="DN74" s="19">
        <v>3156894</v>
      </c>
      <c r="DO74" s="19">
        <v>2394335</v>
      </c>
      <c r="DP74" s="19">
        <v>34974669</v>
      </c>
      <c r="DQ74" s="19">
        <v>325204</v>
      </c>
      <c r="DR74" s="19">
        <v>6029675</v>
      </c>
      <c r="DS74" s="19">
        <v>1216956</v>
      </c>
      <c r="DT74" s="22">
        <v>0.25</v>
      </c>
    </row>
    <row r="75" spans="1:124" x14ac:dyDescent="0.35">
      <c r="A75" s="19" t="s">
        <v>163</v>
      </c>
      <c r="B75" s="19" t="s">
        <v>198</v>
      </c>
      <c r="C75" s="19">
        <v>4674560.567543705</v>
      </c>
      <c r="D75" s="19">
        <v>747929.69080699282</v>
      </c>
      <c r="E75" s="20">
        <v>11706970</v>
      </c>
      <c r="F75" s="19">
        <v>471</v>
      </c>
      <c r="G75" s="19">
        <v>22474</v>
      </c>
      <c r="H75" s="19">
        <v>1442</v>
      </c>
      <c r="I75" s="19">
        <v>10462910</v>
      </c>
      <c r="J75" s="19">
        <v>0</v>
      </c>
      <c r="K75" s="19">
        <v>37467</v>
      </c>
      <c r="L75" s="19">
        <v>4511</v>
      </c>
      <c r="M75" s="19">
        <v>69088</v>
      </c>
      <c r="N75" s="19">
        <v>20088</v>
      </c>
      <c r="O75" s="19">
        <v>55</v>
      </c>
      <c r="P75" s="19">
        <v>327</v>
      </c>
      <c r="Q75" s="19">
        <v>0</v>
      </c>
      <c r="R75" s="19">
        <v>417</v>
      </c>
      <c r="S75" s="19">
        <v>355</v>
      </c>
      <c r="T75" s="19">
        <v>15380</v>
      </c>
      <c r="U75" s="19">
        <v>1019283</v>
      </c>
      <c r="V75" s="19">
        <v>0</v>
      </c>
      <c r="W75" s="19">
        <v>1782</v>
      </c>
      <c r="X75" s="19">
        <v>151</v>
      </c>
      <c r="Y75" s="19">
        <v>19402</v>
      </c>
      <c r="Z75" s="19">
        <v>26573</v>
      </c>
      <c r="AA75" s="19">
        <v>62</v>
      </c>
      <c r="AB75" s="19">
        <v>240</v>
      </c>
      <c r="AC75" s="19">
        <v>4492</v>
      </c>
      <c r="AD75" s="19">
        <v>234921.08461538464</v>
      </c>
      <c r="AE75" s="19">
        <v>104629.1</v>
      </c>
      <c r="AF75" s="19">
        <v>13817.6</v>
      </c>
      <c r="AG75" s="19">
        <v>37951</v>
      </c>
      <c r="AH75" s="19">
        <v>78406.38461538461</v>
      </c>
      <c r="AI75" s="19">
        <v>55</v>
      </c>
      <c r="AJ75" s="19">
        <v>62</v>
      </c>
      <c r="AK75" s="19">
        <v>238336</v>
      </c>
      <c r="AL75" s="19">
        <v>87190</v>
      </c>
      <c r="AM75" s="19">
        <v>13237</v>
      </c>
      <c r="AN75" s="19">
        <v>70479</v>
      </c>
      <c r="AO75" s="19">
        <v>66601</v>
      </c>
      <c r="AP75" s="19">
        <v>620</v>
      </c>
      <c r="AQ75" s="19">
        <v>209</v>
      </c>
      <c r="AR75" s="19">
        <v>188678</v>
      </c>
      <c r="AS75" s="19">
        <v>37951</v>
      </c>
      <c r="AT75" s="19">
        <v>26857</v>
      </c>
      <c r="AU75" s="19">
        <v>5010.3</v>
      </c>
      <c r="AV75" s="19">
        <v>2327</v>
      </c>
      <c r="AW75" s="19">
        <v>75713</v>
      </c>
      <c r="AX75" s="19">
        <v>5374</v>
      </c>
      <c r="AY75" s="19">
        <v>0</v>
      </c>
      <c r="AZ75" s="19">
        <v>186</v>
      </c>
      <c r="BA75" s="19">
        <v>192</v>
      </c>
      <c r="BB75" s="19">
        <v>0</v>
      </c>
      <c r="BC75" s="19">
        <v>13</v>
      </c>
      <c r="BD75" s="19">
        <v>391</v>
      </c>
      <c r="BE75" s="19">
        <v>0</v>
      </c>
      <c r="BF75" s="19">
        <v>115</v>
      </c>
      <c r="BG75" s="19">
        <v>16</v>
      </c>
      <c r="BH75" s="19">
        <v>1550</v>
      </c>
      <c r="BI75" s="19">
        <v>1006</v>
      </c>
      <c r="BJ75" s="19">
        <v>0</v>
      </c>
      <c r="BK75" s="19">
        <v>0</v>
      </c>
      <c r="BL75" s="19">
        <v>106001</v>
      </c>
      <c r="BM75" s="19">
        <v>4153</v>
      </c>
      <c r="BN75" s="19">
        <v>10</v>
      </c>
      <c r="BO75" s="19">
        <v>0</v>
      </c>
      <c r="BP75" s="19">
        <v>0</v>
      </c>
      <c r="BQ75" s="19">
        <v>0</v>
      </c>
      <c r="BR75" s="19">
        <v>1</v>
      </c>
      <c r="BS75" s="19">
        <v>0</v>
      </c>
      <c r="BT75" s="19">
        <v>0</v>
      </c>
      <c r="BU75" s="19">
        <v>0</v>
      </c>
      <c r="BV75" s="19">
        <v>0</v>
      </c>
      <c r="BW75" s="19">
        <v>1</v>
      </c>
      <c r="BX75" s="19">
        <v>0</v>
      </c>
      <c r="BY75" s="19">
        <v>0</v>
      </c>
      <c r="BZ75" s="19">
        <v>0</v>
      </c>
      <c r="CA75" s="19">
        <v>1</v>
      </c>
      <c r="CB75" s="19">
        <v>0</v>
      </c>
      <c r="CC75" s="19">
        <v>0</v>
      </c>
      <c r="CD75" s="19">
        <v>0</v>
      </c>
      <c r="CE75" s="19">
        <v>0</v>
      </c>
      <c r="CF75" s="19">
        <v>0</v>
      </c>
      <c r="CG75" s="19">
        <v>0</v>
      </c>
      <c r="CH75" s="19">
        <v>0</v>
      </c>
      <c r="CI75" s="19">
        <v>0</v>
      </c>
      <c r="CJ75" s="19">
        <v>0</v>
      </c>
      <c r="CK75" s="19">
        <v>0</v>
      </c>
      <c r="CL75" s="19">
        <v>0</v>
      </c>
      <c r="CM75" s="19">
        <v>0</v>
      </c>
      <c r="CN75" s="19">
        <v>0</v>
      </c>
      <c r="CO75" s="19">
        <v>0</v>
      </c>
      <c r="CP75" s="19">
        <v>0</v>
      </c>
      <c r="CQ75" s="19">
        <v>0</v>
      </c>
      <c r="CR75" s="19">
        <v>0</v>
      </c>
      <c r="CS75" s="19">
        <v>0</v>
      </c>
      <c r="CT75" s="19">
        <v>1</v>
      </c>
      <c r="CU75" s="19">
        <v>1</v>
      </c>
      <c r="CV75" s="19">
        <v>0</v>
      </c>
      <c r="CW75" s="19">
        <v>0</v>
      </c>
      <c r="CX75" s="19">
        <v>0</v>
      </c>
      <c r="CY75" s="19">
        <v>0</v>
      </c>
      <c r="CZ75" s="19">
        <v>1</v>
      </c>
      <c r="DA75" s="19">
        <v>1</v>
      </c>
      <c r="DB75" s="19">
        <v>1</v>
      </c>
      <c r="DC75" s="19">
        <v>0</v>
      </c>
      <c r="DD75" s="19">
        <v>0</v>
      </c>
      <c r="DE75" s="19">
        <v>0</v>
      </c>
      <c r="DF75" s="19">
        <v>0</v>
      </c>
      <c r="DG75" s="19">
        <v>0</v>
      </c>
      <c r="DH75" s="19">
        <v>0</v>
      </c>
      <c r="DI75" s="19">
        <v>1</v>
      </c>
      <c r="DJ75" s="21">
        <v>30505</v>
      </c>
      <c r="DK75" s="19">
        <v>223575992</v>
      </c>
      <c r="DL75" s="19">
        <v>115811211</v>
      </c>
      <c r="DM75" s="19">
        <v>11000</v>
      </c>
      <c r="DN75" s="19">
        <v>7310325</v>
      </c>
      <c r="DO75" s="19">
        <v>2818075</v>
      </c>
      <c r="DP75" s="19">
        <v>74809447</v>
      </c>
      <c r="DQ75" s="19">
        <v>817418</v>
      </c>
      <c r="DR75" s="19">
        <v>21519838</v>
      </c>
      <c r="DS75" s="19">
        <v>478678</v>
      </c>
      <c r="DT75" s="22">
        <v>0.28999999999999998</v>
      </c>
    </row>
    <row r="76" spans="1:124" x14ac:dyDescent="0.35">
      <c r="A76" s="19" t="s">
        <v>163</v>
      </c>
      <c r="B76" s="19" t="s">
        <v>199</v>
      </c>
      <c r="C76" s="19">
        <v>4367165.0240818895</v>
      </c>
      <c r="D76" s="19">
        <v>698746.40385310235</v>
      </c>
      <c r="E76" s="20">
        <v>9845690</v>
      </c>
      <c r="F76" s="19">
        <v>2735</v>
      </c>
      <c r="G76" s="19">
        <v>28118</v>
      </c>
      <c r="H76" s="19">
        <v>541</v>
      </c>
      <c r="I76" s="19">
        <v>9395837</v>
      </c>
      <c r="J76" s="19">
        <v>282</v>
      </c>
      <c r="K76" s="19">
        <v>24035</v>
      </c>
      <c r="L76" s="19">
        <v>1827</v>
      </c>
      <c r="M76" s="19">
        <v>54936</v>
      </c>
      <c r="N76" s="19">
        <v>30856</v>
      </c>
      <c r="O76" s="19">
        <v>15</v>
      </c>
      <c r="P76" s="19">
        <v>1035</v>
      </c>
      <c r="Q76" s="19">
        <v>0</v>
      </c>
      <c r="R76" s="19">
        <v>355</v>
      </c>
      <c r="S76" s="19">
        <v>422</v>
      </c>
      <c r="T76" s="19">
        <v>22960</v>
      </c>
      <c r="U76" s="19">
        <v>208679</v>
      </c>
      <c r="V76" s="19">
        <v>422</v>
      </c>
      <c r="W76" s="19">
        <v>1341</v>
      </c>
      <c r="X76" s="19">
        <v>247</v>
      </c>
      <c r="Y76" s="19">
        <v>26523</v>
      </c>
      <c r="Z76" s="19">
        <v>35871</v>
      </c>
      <c r="AA76" s="19">
        <v>93</v>
      </c>
      <c r="AB76" s="19">
        <v>730</v>
      </c>
      <c r="AC76" s="19">
        <v>7830</v>
      </c>
      <c r="AD76" s="19">
        <v>152272.80076923079</v>
      </c>
      <c r="AE76" s="19">
        <v>93958.37</v>
      </c>
      <c r="AF76" s="19">
        <v>10987.2</v>
      </c>
      <c r="AG76" s="19">
        <v>31167</v>
      </c>
      <c r="AH76" s="19">
        <v>16052.23076923077</v>
      </c>
      <c r="AI76" s="19">
        <v>15</v>
      </c>
      <c r="AJ76" s="19">
        <v>93</v>
      </c>
      <c r="AK76" s="19">
        <v>223307</v>
      </c>
      <c r="AL76" s="19">
        <v>78300</v>
      </c>
      <c r="AM76" s="19">
        <v>11003</v>
      </c>
      <c r="AN76" s="19">
        <v>105660</v>
      </c>
      <c r="AO76" s="19">
        <v>27357</v>
      </c>
      <c r="AP76" s="19">
        <v>930</v>
      </c>
      <c r="AQ76" s="19">
        <v>57</v>
      </c>
      <c r="AR76" s="19">
        <v>87808</v>
      </c>
      <c r="AS76" s="19">
        <v>31167</v>
      </c>
      <c r="AT76" s="19">
        <v>18526</v>
      </c>
      <c r="AU76" s="19">
        <v>4863.1999999999971</v>
      </c>
      <c r="AV76" s="19">
        <v>1885</v>
      </c>
      <c r="AW76" s="19">
        <v>61970</v>
      </c>
      <c r="AX76" s="19">
        <v>10032</v>
      </c>
      <c r="AY76" s="19">
        <v>17569.310046961233</v>
      </c>
      <c r="AZ76" s="19">
        <v>287</v>
      </c>
      <c r="BA76" s="19">
        <v>208</v>
      </c>
      <c r="BB76" s="19">
        <v>4</v>
      </c>
      <c r="BC76" s="19">
        <v>17</v>
      </c>
      <c r="BD76" s="19">
        <v>516</v>
      </c>
      <c r="BE76" s="19">
        <v>183</v>
      </c>
      <c r="BF76" s="19">
        <v>20</v>
      </c>
      <c r="BG76" s="19">
        <v>0</v>
      </c>
      <c r="BH76" s="19">
        <v>940</v>
      </c>
      <c r="BI76" s="19">
        <v>564</v>
      </c>
      <c r="BJ76" s="19">
        <v>0</v>
      </c>
      <c r="BK76" s="19">
        <v>0</v>
      </c>
      <c r="BL76" s="19">
        <v>8962</v>
      </c>
      <c r="BM76" s="19">
        <v>322</v>
      </c>
      <c r="BN76" s="19">
        <v>68</v>
      </c>
      <c r="BO76" s="19">
        <v>3182</v>
      </c>
      <c r="BP76" s="19">
        <v>0</v>
      </c>
      <c r="BQ76" s="19">
        <v>0</v>
      </c>
      <c r="BR76" s="19">
        <v>1</v>
      </c>
      <c r="BS76" s="19">
        <v>1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>
        <v>0</v>
      </c>
      <c r="CA76" s="19">
        <v>1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1</v>
      </c>
      <c r="CI76" s="19">
        <v>1</v>
      </c>
      <c r="CJ76" s="19">
        <v>1</v>
      </c>
      <c r="CK76" s="19">
        <v>1</v>
      </c>
      <c r="CL76" s="19">
        <v>1</v>
      </c>
      <c r="CM76" s="19">
        <v>1</v>
      </c>
      <c r="CN76" s="19">
        <v>1</v>
      </c>
      <c r="CO76" s="19">
        <v>0</v>
      </c>
      <c r="CP76" s="19">
        <v>1</v>
      </c>
      <c r="CQ76" s="19">
        <v>1</v>
      </c>
      <c r="CR76" s="19">
        <v>1</v>
      </c>
      <c r="CS76" s="19">
        <v>1</v>
      </c>
      <c r="CT76" s="19">
        <v>1</v>
      </c>
      <c r="CU76" s="19">
        <v>1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1</v>
      </c>
      <c r="DE76" s="19">
        <v>0</v>
      </c>
      <c r="DF76" s="19">
        <v>0</v>
      </c>
      <c r="DG76" s="19">
        <v>0</v>
      </c>
      <c r="DH76" s="19">
        <v>0</v>
      </c>
      <c r="DI76" s="19">
        <v>0</v>
      </c>
      <c r="DJ76" s="21">
        <v>30621</v>
      </c>
      <c r="DK76" s="19">
        <v>170438328</v>
      </c>
      <c r="DL76" s="19">
        <v>101175637</v>
      </c>
      <c r="DM76" s="19">
        <v>3000</v>
      </c>
      <c r="DN76" s="19">
        <v>5923385</v>
      </c>
      <c r="DO76" s="19">
        <v>4770293</v>
      </c>
      <c r="DP76" s="19">
        <v>49667407</v>
      </c>
      <c r="DQ76" s="19">
        <v>2239190</v>
      </c>
      <c r="DR76" s="19">
        <v>6048602</v>
      </c>
      <c r="DS76" s="19">
        <v>610814</v>
      </c>
      <c r="DT76" s="22">
        <v>0.28000000000000003</v>
      </c>
    </row>
    <row r="77" spans="1:124" x14ac:dyDescent="0.35">
      <c r="A77" s="19" t="s">
        <v>163</v>
      </c>
      <c r="B77" s="19" t="s">
        <v>200</v>
      </c>
      <c r="C77" s="19">
        <v>4852449.4399846867</v>
      </c>
      <c r="D77" s="19">
        <v>776391.91039754986</v>
      </c>
      <c r="E77" s="20">
        <v>13303792</v>
      </c>
      <c r="F77" s="19">
        <v>5139</v>
      </c>
      <c r="G77" s="19">
        <v>35488</v>
      </c>
      <c r="H77" s="19">
        <v>2367</v>
      </c>
      <c r="I77" s="19">
        <v>12623850</v>
      </c>
      <c r="J77" s="19">
        <v>621</v>
      </c>
      <c r="K77" s="19">
        <v>10185</v>
      </c>
      <c r="L77" s="19">
        <v>1113</v>
      </c>
      <c r="M77" s="19">
        <v>74485</v>
      </c>
      <c r="N77" s="19">
        <v>28025</v>
      </c>
      <c r="O77" s="19">
        <v>31</v>
      </c>
      <c r="P77" s="19">
        <v>2852</v>
      </c>
      <c r="Q77" s="19">
        <v>0</v>
      </c>
      <c r="R77" s="19">
        <v>157</v>
      </c>
      <c r="S77" s="19">
        <v>1217</v>
      </c>
      <c r="T77" s="19">
        <v>84880</v>
      </c>
      <c r="U77" s="19">
        <v>358422</v>
      </c>
      <c r="V77" s="19">
        <v>599</v>
      </c>
      <c r="W77" s="19">
        <v>585</v>
      </c>
      <c r="X77" s="19">
        <v>123</v>
      </c>
      <c r="Y77" s="19">
        <v>18296</v>
      </c>
      <c r="Z77" s="19">
        <v>32596</v>
      </c>
      <c r="AA77" s="19">
        <v>29</v>
      </c>
      <c r="AB77" s="19">
        <v>842</v>
      </c>
      <c r="AC77" s="19">
        <v>21890</v>
      </c>
      <c r="AD77" s="19">
        <v>206145.42307692306</v>
      </c>
      <c r="AE77" s="19">
        <v>126238.5</v>
      </c>
      <c r="AF77" s="19">
        <v>14897</v>
      </c>
      <c r="AG77" s="19">
        <v>37379</v>
      </c>
      <c r="AH77" s="19">
        <v>27570.923076923078</v>
      </c>
      <c r="AI77" s="19">
        <v>31</v>
      </c>
      <c r="AJ77" s="19">
        <v>29</v>
      </c>
      <c r="AK77" s="19">
        <v>275292</v>
      </c>
      <c r="AL77" s="19">
        <v>105198</v>
      </c>
      <c r="AM77" s="19">
        <v>16172</v>
      </c>
      <c r="AN77" s="19">
        <v>102145</v>
      </c>
      <c r="AO77" s="19">
        <v>51369</v>
      </c>
      <c r="AP77" s="19">
        <v>290</v>
      </c>
      <c r="AQ77" s="19">
        <v>118</v>
      </c>
      <c r="AR77" s="19">
        <v>191122</v>
      </c>
      <c r="AS77" s="19">
        <v>37379</v>
      </c>
      <c r="AT77" s="19">
        <v>42399</v>
      </c>
      <c r="AU77" s="19">
        <v>14656.300000000017</v>
      </c>
      <c r="AV77" s="19">
        <v>487</v>
      </c>
      <c r="AW77" s="19">
        <v>75618</v>
      </c>
      <c r="AX77" s="19">
        <v>15048</v>
      </c>
      <c r="AY77" s="19">
        <v>0</v>
      </c>
      <c r="AZ77" s="19">
        <v>136</v>
      </c>
      <c r="BA77" s="19">
        <v>95</v>
      </c>
      <c r="BB77" s="19">
        <v>2</v>
      </c>
      <c r="BC77" s="19">
        <v>11</v>
      </c>
      <c r="BD77" s="19">
        <v>244</v>
      </c>
      <c r="BE77" s="19">
        <v>0</v>
      </c>
      <c r="BF77" s="19">
        <v>37</v>
      </c>
      <c r="BG77" s="19">
        <v>2</v>
      </c>
      <c r="BH77" s="19">
        <v>1446</v>
      </c>
      <c r="BI77" s="19">
        <v>371</v>
      </c>
      <c r="BJ77" s="19">
        <v>150</v>
      </c>
      <c r="BK77" s="19">
        <v>183</v>
      </c>
      <c r="BL77" s="19">
        <v>43899</v>
      </c>
      <c r="BM77" s="19">
        <v>2388</v>
      </c>
      <c r="BN77" s="19">
        <v>244</v>
      </c>
      <c r="BO77" s="19">
        <v>17932</v>
      </c>
      <c r="BP77" s="19">
        <v>0</v>
      </c>
      <c r="BQ77" s="19">
        <v>0</v>
      </c>
      <c r="BR77" s="19">
        <v>1</v>
      </c>
      <c r="BS77" s="19">
        <v>0</v>
      </c>
      <c r="BT77" s="19">
        <v>0</v>
      </c>
      <c r="BU77" s="19">
        <v>0</v>
      </c>
      <c r="BV77" s="19">
        <v>0</v>
      </c>
      <c r="BW77" s="19">
        <v>1</v>
      </c>
      <c r="BX77" s="19">
        <v>0</v>
      </c>
      <c r="BY77" s="19">
        <v>0</v>
      </c>
      <c r="BZ77" s="19">
        <v>0</v>
      </c>
      <c r="CA77" s="19">
        <v>0</v>
      </c>
      <c r="CB77" s="19">
        <v>0</v>
      </c>
      <c r="CC77" s="19">
        <v>0</v>
      </c>
      <c r="CD77" s="19">
        <v>0</v>
      </c>
      <c r="CE77" s="19">
        <v>0</v>
      </c>
      <c r="CF77" s="19">
        <v>0</v>
      </c>
      <c r="CG77" s="19">
        <v>0</v>
      </c>
      <c r="CH77" s="19">
        <v>0</v>
      </c>
      <c r="CI77" s="19">
        <v>0</v>
      </c>
      <c r="CJ77" s="19">
        <v>0</v>
      </c>
      <c r="CK77" s="19">
        <v>0</v>
      </c>
      <c r="CL77" s="19">
        <v>0</v>
      </c>
      <c r="CM77" s="19">
        <v>0</v>
      </c>
      <c r="CN77" s="19">
        <v>0</v>
      </c>
      <c r="CO77" s="19">
        <v>0</v>
      </c>
      <c r="CP77" s="19">
        <v>1</v>
      </c>
      <c r="CQ77" s="19">
        <v>1</v>
      </c>
      <c r="CR77" s="19">
        <v>1</v>
      </c>
      <c r="CS77" s="19">
        <v>1</v>
      </c>
      <c r="CT77" s="19">
        <v>1</v>
      </c>
      <c r="CU77" s="19">
        <v>1</v>
      </c>
      <c r="CV77" s="19">
        <v>0</v>
      </c>
      <c r="CW77" s="19">
        <v>0</v>
      </c>
      <c r="CX77" s="19">
        <v>0</v>
      </c>
      <c r="CY77" s="19">
        <v>0</v>
      </c>
      <c r="CZ77" s="19">
        <v>0</v>
      </c>
      <c r="DA77" s="19">
        <v>0</v>
      </c>
      <c r="DB77" s="19">
        <v>0</v>
      </c>
      <c r="DC77" s="19">
        <v>0</v>
      </c>
      <c r="DD77" s="19">
        <v>0</v>
      </c>
      <c r="DE77" s="19">
        <v>0</v>
      </c>
      <c r="DF77" s="19">
        <v>0</v>
      </c>
      <c r="DG77" s="19">
        <v>0</v>
      </c>
      <c r="DH77" s="19">
        <v>0</v>
      </c>
      <c r="DI77" s="19">
        <v>0</v>
      </c>
      <c r="DJ77" s="21">
        <v>30717</v>
      </c>
      <c r="DK77" s="19">
        <v>199199069</v>
      </c>
      <c r="DL77" s="19">
        <v>143612807</v>
      </c>
      <c r="DM77" s="19">
        <v>6200</v>
      </c>
      <c r="DN77" s="19">
        <v>7951368</v>
      </c>
      <c r="DO77" s="19">
        <v>3414296</v>
      </c>
      <c r="DP77" s="19">
        <v>27428792</v>
      </c>
      <c r="DQ77" s="19">
        <v>5533016</v>
      </c>
      <c r="DR77" s="19">
        <v>10489099</v>
      </c>
      <c r="DS77" s="19">
        <v>763491</v>
      </c>
      <c r="DT77" s="22">
        <v>0.34</v>
      </c>
    </row>
    <row r="78" spans="1:124" x14ac:dyDescent="0.35">
      <c r="A78" s="19" t="s">
        <v>163</v>
      </c>
      <c r="B78" s="19" t="s">
        <v>201</v>
      </c>
      <c r="C78" s="19">
        <v>649502.63645126834</v>
      </c>
      <c r="D78" s="19">
        <v>103920.42183220293</v>
      </c>
      <c r="E78" s="20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33</v>
      </c>
      <c r="BA78" s="19">
        <v>23</v>
      </c>
      <c r="BB78" s="19">
        <v>2</v>
      </c>
      <c r="BC78" s="19">
        <v>0</v>
      </c>
      <c r="BD78" s="19">
        <v>58</v>
      </c>
      <c r="BE78" s="19">
        <v>0</v>
      </c>
      <c r="BF78" s="19">
        <v>1</v>
      </c>
      <c r="BG78" s="19">
        <v>0</v>
      </c>
      <c r="BH78" s="19">
        <v>182</v>
      </c>
      <c r="BI78" s="19">
        <v>78</v>
      </c>
      <c r="BJ78" s="19">
        <v>0</v>
      </c>
      <c r="BK78" s="19">
        <v>0</v>
      </c>
      <c r="BL78" s="19">
        <v>12752</v>
      </c>
      <c r="BM78" s="19">
        <v>599</v>
      </c>
      <c r="BN78" s="19">
        <v>67</v>
      </c>
      <c r="BO78" s="19">
        <v>4219</v>
      </c>
      <c r="BP78" s="19">
        <v>0</v>
      </c>
      <c r="BQ78" s="19">
        <v>0</v>
      </c>
      <c r="BR78" s="19">
        <v>1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  <c r="DH78" s="19">
        <v>0</v>
      </c>
      <c r="DI78" s="19">
        <v>0</v>
      </c>
      <c r="DJ78" s="21">
        <v>30806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22">
        <v>0.32</v>
      </c>
    </row>
    <row r="79" spans="1:124" x14ac:dyDescent="0.35">
      <c r="A79" s="19" t="s">
        <v>163</v>
      </c>
      <c r="B79" s="19" t="s">
        <v>202</v>
      </c>
      <c r="C79" s="19">
        <v>1127494.4562593075</v>
      </c>
      <c r="D79" s="19">
        <v>180399.1130014892</v>
      </c>
      <c r="E79" s="20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14</v>
      </c>
      <c r="BA79" s="19">
        <v>4</v>
      </c>
      <c r="BB79" s="19">
        <v>0</v>
      </c>
      <c r="BC79" s="19">
        <v>1</v>
      </c>
      <c r="BD79" s="19">
        <v>19</v>
      </c>
      <c r="BE79" s="19">
        <v>0</v>
      </c>
      <c r="BF79" s="19">
        <v>1</v>
      </c>
      <c r="BG79" s="19">
        <v>0</v>
      </c>
      <c r="BH79" s="19">
        <v>226</v>
      </c>
      <c r="BI79" s="19">
        <v>34</v>
      </c>
      <c r="BJ79" s="19">
        <v>0</v>
      </c>
      <c r="BK79" s="19">
        <v>0</v>
      </c>
      <c r="BL79" s="19">
        <v>3982</v>
      </c>
      <c r="BM79" s="19">
        <v>136</v>
      </c>
      <c r="BN79" s="19">
        <v>54</v>
      </c>
      <c r="BO79" s="19">
        <v>845</v>
      </c>
      <c r="BP79" s="19">
        <v>0</v>
      </c>
      <c r="BQ79" s="19">
        <v>0</v>
      </c>
      <c r="BR79" s="19">
        <v>1</v>
      </c>
      <c r="BS79" s="19">
        <v>0</v>
      </c>
      <c r="BT79" s="19">
        <v>0</v>
      </c>
      <c r="BU79" s="19">
        <v>0</v>
      </c>
      <c r="BV79" s="19">
        <v>0</v>
      </c>
      <c r="BW79" s="19">
        <v>0</v>
      </c>
      <c r="BX79" s="19">
        <v>0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19">
        <v>0</v>
      </c>
      <c r="CL79" s="19">
        <v>0</v>
      </c>
      <c r="CM79" s="19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>
        <v>0</v>
      </c>
      <c r="CX79" s="19">
        <v>0</v>
      </c>
      <c r="CY79" s="19">
        <v>0</v>
      </c>
      <c r="CZ79" s="19">
        <v>0</v>
      </c>
      <c r="DA79" s="19">
        <v>0</v>
      </c>
      <c r="DB79" s="19">
        <v>0</v>
      </c>
      <c r="DC79" s="19">
        <v>0</v>
      </c>
      <c r="DD79" s="19">
        <v>0</v>
      </c>
      <c r="DE79" s="19">
        <v>0</v>
      </c>
      <c r="DF79" s="19">
        <v>0</v>
      </c>
      <c r="DG79" s="19">
        <v>0</v>
      </c>
      <c r="DH79" s="19">
        <v>0</v>
      </c>
      <c r="DI79" s="19">
        <v>0</v>
      </c>
      <c r="DJ79" s="21">
        <v>30434</v>
      </c>
      <c r="DK79" s="19">
        <v>0</v>
      </c>
      <c r="DL79" s="19">
        <v>0</v>
      </c>
      <c r="DM79" s="19">
        <v>0</v>
      </c>
      <c r="DN79" s="19">
        <v>0</v>
      </c>
      <c r="DO79" s="19">
        <v>0</v>
      </c>
      <c r="DP79" s="19">
        <v>0</v>
      </c>
      <c r="DQ79" s="19">
        <v>0</v>
      </c>
      <c r="DR79" s="19">
        <v>0</v>
      </c>
      <c r="DS79" s="19">
        <v>0</v>
      </c>
      <c r="DT79" s="22">
        <v>0.22</v>
      </c>
    </row>
    <row r="80" spans="1:124" x14ac:dyDescent="0.35">
      <c r="A80" s="19" t="s">
        <v>163</v>
      </c>
      <c r="B80" s="19" t="s">
        <v>203</v>
      </c>
      <c r="C80" s="19">
        <v>2722098.9969530804</v>
      </c>
      <c r="D80" s="19">
        <v>435535.83951249288</v>
      </c>
      <c r="E80" s="20">
        <v>7082437</v>
      </c>
      <c r="F80" s="19">
        <v>318</v>
      </c>
      <c r="G80" s="19">
        <v>25064</v>
      </c>
      <c r="H80" s="19">
        <v>193</v>
      </c>
      <c r="I80" s="19">
        <v>6854311</v>
      </c>
      <c r="J80" s="19">
        <v>3</v>
      </c>
      <c r="K80" s="19">
        <v>6112</v>
      </c>
      <c r="L80" s="19">
        <v>876</v>
      </c>
      <c r="M80" s="19">
        <v>20775</v>
      </c>
      <c r="N80" s="19">
        <v>16315</v>
      </c>
      <c r="O80" s="19">
        <v>0</v>
      </c>
      <c r="P80" s="19">
        <v>97</v>
      </c>
      <c r="Q80" s="19">
        <v>0</v>
      </c>
      <c r="R80" s="19">
        <v>138</v>
      </c>
      <c r="S80" s="19">
        <v>2</v>
      </c>
      <c r="T80" s="19">
        <v>3940</v>
      </c>
      <c r="U80" s="19">
        <v>128749</v>
      </c>
      <c r="V80" s="19">
        <v>0</v>
      </c>
      <c r="W80" s="19">
        <v>1594</v>
      </c>
      <c r="X80" s="19">
        <v>457</v>
      </c>
      <c r="Y80" s="19">
        <v>6183</v>
      </c>
      <c r="Z80" s="19">
        <v>15681</v>
      </c>
      <c r="AA80" s="19">
        <v>0</v>
      </c>
      <c r="AB80" s="19">
        <v>560</v>
      </c>
      <c r="AC80" s="19">
        <v>1069</v>
      </c>
      <c r="AD80" s="19">
        <v>93873.879230769235</v>
      </c>
      <c r="AE80" s="19">
        <v>68543.11</v>
      </c>
      <c r="AF80" s="19">
        <v>4155</v>
      </c>
      <c r="AG80" s="19">
        <v>11272</v>
      </c>
      <c r="AH80" s="19">
        <v>9903.7692307692305</v>
      </c>
      <c r="AI80" s="19">
        <v>0</v>
      </c>
      <c r="AJ80" s="19">
        <v>0</v>
      </c>
      <c r="AK80" s="19">
        <v>132881</v>
      </c>
      <c r="AL80" s="19">
        <v>57119</v>
      </c>
      <c r="AM80" s="19">
        <v>4413</v>
      </c>
      <c r="AN80" s="19">
        <v>59806</v>
      </c>
      <c r="AO80" s="19">
        <v>11543</v>
      </c>
      <c r="AP80" s="19">
        <v>0</v>
      </c>
      <c r="AQ80" s="19">
        <v>0</v>
      </c>
      <c r="AR80" s="19">
        <v>39596</v>
      </c>
      <c r="AS80" s="19">
        <v>11272</v>
      </c>
      <c r="AT80" s="19">
        <v>9663</v>
      </c>
      <c r="AU80" s="19">
        <v>2230.1</v>
      </c>
      <c r="AV80" s="19">
        <v>662</v>
      </c>
      <c r="AW80" s="19">
        <v>13805</v>
      </c>
      <c r="AX80" s="19">
        <v>2271</v>
      </c>
      <c r="AY80" s="19">
        <v>0</v>
      </c>
      <c r="AZ80" s="19">
        <v>60</v>
      </c>
      <c r="BA80" s="19">
        <v>118</v>
      </c>
      <c r="BB80" s="19">
        <v>1</v>
      </c>
      <c r="BC80" s="19">
        <v>11</v>
      </c>
      <c r="BD80" s="19">
        <v>190</v>
      </c>
      <c r="BE80" s="19">
        <v>0</v>
      </c>
      <c r="BF80" s="19">
        <v>22</v>
      </c>
      <c r="BG80" s="19">
        <v>2</v>
      </c>
      <c r="BH80" s="19">
        <v>601</v>
      </c>
      <c r="BI80" s="19">
        <v>211</v>
      </c>
      <c r="BJ80" s="19">
        <v>0</v>
      </c>
      <c r="BK80" s="19">
        <v>0</v>
      </c>
      <c r="BL80" s="19">
        <v>11858</v>
      </c>
      <c r="BM80" s="19">
        <v>949</v>
      </c>
      <c r="BN80" s="19">
        <v>83</v>
      </c>
      <c r="BO80" s="19">
        <v>3503</v>
      </c>
      <c r="BP80" s="19">
        <v>0</v>
      </c>
      <c r="BQ80" s="19">
        <v>0</v>
      </c>
      <c r="BR80" s="19">
        <v>1</v>
      </c>
      <c r="BS80" s="19">
        <v>1</v>
      </c>
      <c r="BT80" s="19">
        <v>0</v>
      </c>
      <c r="BU80" s="19">
        <v>0</v>
      </c>
      <c r="BV80" s="19">
        <v>0</v>
      </c>
      <c r="BW80" s="19">
        <v>0</v>
      </c>
      <c r="BX80" s="19">
        <v>0</v>
      </c>
      <c r="BY80" s="19">
        <v>0</v>
      </c>
      <c r="BZ80" s="19">
        <v>1</v>
      </c>
      <c r="CA80" s="19">
        <v>1</v>
      </c>
      <c r="CB80" s="19">
        <v>0</v>
      </c>
      <c r="CC80" s="19">
        <v>0</v>
      </c>
      <c r="CD80" s="19">
        <v>0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19">
        <v>0</v>
      </c>
      <c r="CL80" s="19">
        <v>0</v>
      </c>
      <c r="CM80" s="19">
        <v>0</v>
      </c>
      <c r="CN80" s="19">
        <v>0</v>
      </c>
      <c r="CO80" s="19">
        <v>0</v>
      </c>
      <c r="CP80" s="19">
        <v>1</v>
      </c>
      <c r="CQ80" s="19">
        <v>1</v>
      </c>
      <c r="CR80" s="19">
        <v>1</v>
      </c>
      <c r="CS80" s="19">
        <v>1</v>
      </c>
      <c r="CT80" s="19">
        <v>0</v>
      </c>
      <c r="CU80" s="19">
        <v>0</v>
      </c>
      <c r="CV80" s="19">
        <v>0</v>
      </c>
      <c r="CW80" s="19">
        <v>0</v>
      </c>
      <c r="CX80" s="19">
        <v>0</v>
      </c>
      <c r="CY80" s="19">
        <v>0</v>
      </c>
      <c r="CZ80" s="19">
        <v>0</v>
      </c>
      <c r="DA80" s="19">
        <v>0</v>
      </c>
      <c r="DB80" s="19">
        <v>0</v>
      </c>
      <c r="DC80" s="19">
        <v>0</v>
      </c>
      <c r="DD80" s="19">
        <v>1</v>
      </c>
      <c r="DE80" s="19">
        <v>0</v>
      </c>
      <c r="DF80" s="19">
        <v>0</v>
      </c>
      <c r="DG80" s="19">
        <v>0</v>
      </c>
      <c r="DH80" s="19">
        <v>0</v>
      </c>
      <c r="DI80" s="19">
        <v>1</v>
      </c>
      <c r="DJ80" s="21">
        <v>30512</v>
      </c>
      <c r="DK80" s="19">
        <v>97955686</v>
      </c>
      <c r="DL80" s="19">
        <v>73495831</v>
      </c>
      <c r="DM80" s="19">
        <v>0</v>
      </c>
      <c r="DN80" s="19">
        <v>2321030</v>
      </c>
      <c r="DO80" s="19">
        <v>2367678</v>
      </c>
      <c r="DP80" s="19">
        <v>16071578</v>
      </c>
      <c r="DQ80" s="19">
        <v>258232</v>
      </c>
      <c r="DR80" s="19">
        <v>2901990</v>
      </c>
      <c r="DS80" s="19">
        <v>539347</v>
      </c>
      <c r="DT80" s="22">
        <v>0.27</v>
      </c>
    </row>
    <row r="81" spans="1:124" x14ac:dyDescent="0.35">
      <c r="A81" s="19" t="s">
        <v>163</v>
      </c>
      <c r="B81" s="19" t="s">
        <v>204</v>
      </c>
      <c r="C81" s="19">
        <v>3699596.9813627587</v>
      </c>
      <c r="D81" s="19">
        <v>591935.51701804134</v>
      </c>
      <c r="E81" s="20">
        <v>8482971</v>
      </c>
      <c r="F81" s="19">
        <v>1403</v>
      </c>
      <c r="G81" s="19">
        <v>35313</v>
      </c>
      <c r="H81" s="19">
        <v>894</v>
      </c>
      <c r="I81" s="19">
        <v>8030717</v>
      </c>
      <c r="J81" s="19">
        <v>74</v>
      </c>
      <c r="K81" s="19">
        <v>6555</v>
      </c>
      <c r="L81" s="19">
        <v>283</v>
      </c>
      <c r="M81" s="19">
        <v>43161</v>
      </c>
      <c r="N81" s="19">
        <v>10483</v>
      </c>
      <c r="O81" s="19">
        <v>34</v>
      </c>
      <c r="P81" s="19">
        <v>738</v>
      </c>
      <c r="Q81" s="19">
        <v>0</v>
      </c>
      <c r="R81" s="19">
        <v>220</v>
      </c>
      <c r="S81" s="19">
        <v>178</v>
      </c>
      <c r="T81" s="19">
        <v>16800</v>
      </c>
      <c r="U81" s="19">
        <v>323129</v>
      </c>
      <c r="V81" s="19">
        <v>92</v>
      </c>
      <c r="W81" s="19">
        <v>368</v>
      </c>
      <c r="X81" s="19">
        <v>32</v>
      </c>
      <c r="Y81" s="19">
        <v>2654</v>
      </c>
      <c r="Z81" s="19">
        <v>4457</v>
      </c>
      <c r="AA81" s="19">
        <v>63</v>
      </c>
      <c r="AB81" s="19">
        <v>200</v>
      </c>
      <c r="AC81" s="19">
        <v>5123</v>
      </c>
      <c r="AD81" s="19">
        <v>130122.44692307692</v>
      </c>
      <c r="AE81" s="19">
        <v>80307.17</v>
      </c>
      <c r="AF81" s="19">
        <v>8632.2000000000007</v>
      </c>
      <c r="AG81" s="19">
        <v>16230</v>
      </c>
      <c r="AH81" s="19">
        <v>24856.076923076922</v>
      </c>
      <c r="AI81" s="19">
        <v>34</v>
      </c>
      <c r="AJ81" s="19">
        <v>63</v>
      </c>
      <c r="AK81" s="19">
        <v>136239</v>
      </c>
      <c r="AL81" s="19">
        <v>66923</v>
      </c>
      <c r="AM81" s="19">
        <v>9539</v>
      </c>
      <c r="AN81" s="19">
        <v>37501</v>
      </c>
      <c r="AO81" s="19">
        <v>21517</v>
      </c>
      <c r="AP81" s="19">
        <v>630</v>
      </c>
      <c r="AQ81" s="19">
        <v>129</v>
      </c>
      <c r="AR81" s="19">
        <v>56132</v>
      </c>
      <c r="AS81" s="19">
        <v>16230</v>
      </c>
      <c r="AT81" s="19">
        <v>13422</v>
      </c>
      <c r="AU81" s="19">
        <v>2368.3000000000011</v>
      </c>
      <c r="AV81" s="19">
        <v>1145</v>
      </c>
      <c r="AW81" s="19">
        <v>31517</v>
      </c>
      <c r="AX81" s="19">
        <v>2713</v>
      </c>
      <c r="AY81" s="19">
        <v>0</v>
      </c>
      <c r="AZ81" s="19">
        <v>49</v>
      </c>
      <c r="BA81" s="19">
        <v>108</v>
      </c>
      <c r="BB81" s="19">
        <v>2</v>
      </c>
      <c r="BC81" s="19">
        <v>22</v>
      </c>
      <c r="BD81" s="19">
        <v>181</v>
      </c>
      <c r="BE81" s="19">
        <v>0</v>
      </c>
      <c r="BF81" s="19">
        <v>54</v>
      </c>
      <c r="BG81" s="19">
        <v>8</v>
      </c>
      <c r="BH81" s="19">
        <v>1281</v>
      </c>
      <c r="BI81" s="19">
        <v>467</v>
      </c>
      <c r="BJ81" s="19">
        <v>0</v>
      </c>
      <c r="BK81" s="19">
        <v>0</v>
      </c>
      <c r="BL81" s="19">
        <v>15531</v>
      </c>
      <c r="BM81" s="19">
        <v>1029</v>
      </c>
      <c r="BN81" s="19">
        <v>147</v>
      </c>
      <c r="BO81" s="19">
        <v>4217</v>
      </c>
      <c r="BP81" s="19">
        <v>0</v>
      </c>
      <c r="BQ81" s="19">
        <v>0</v>
      </c>
      <c r="BR81" s="19">
        <v>1</v>
      </c>
      <c r="BS81" s="19">
        <v>0</v>
      </c>
      <c r="BT81" s="19">
        <v>0</v>
      </c>
      <c r="BU81" s="19">
        <v>0</v>
      </c>
      <c r="BV81" s="19">
        <v>0</v>
      </c>
      <c r="BW81" s="19">
        <v>0</v>
      </c>
      <c r="BX81" s="19">
        <v>0</v>
      </c>
      <c r="BY81" s="19">
        <v>0</v>
      </c>
      <c r="BZ81" s="19">
        <v>1</v>
      </c>
      <c r="CA81" s="19">
        <v>1</v>
      </c>
      <c r="CB81" s="19">
        <v>0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19">
        <v>0</v>
      </c>
      <c r="CL81" s="19">
        <v>0</v>
      </c>
      <c r="CM81" s="19">
        <v>0</v>
      </c>
      <c r="CN81" s="19">
        <v>0</v>
      </c>
      <c r="CO81" s="19">
        <v>0</v>
      </c>
      <c r="CP81" s="19">
        <v>1</v>
      </c>
      <c r="CQ81" s="19">
        <v>1</v>
      </c>
      <c r="CR81" s="19">
        <v>1</v>
      </c>
      <c r="CS81" s="19">
        <v>1</v>
      </c>
      <c r="CT81" s="19">
        <v>0</v>
      </c>
      <c r="CU81" s="19">
        <v>0</v>
      </c>
      <c r="CV81" s="19">
        <v>1</v>
      </c>
      <c r="CW81" s="19">
        <v>0</v>
      </c>
      <c r="CX81" s="19">
        <v>0</v>
      </c>
      <c r="CY81" s="19">
        <v>0</v>
      </c>
      <c r="CZ81" s="19">
        <v>0</v>
      </c>
      <c r="DA81" s="19">
        <v>0</v>
      </c>
      <c r="DB81" s="19">
        <v>0</v>
      </c>
      <c r="DC81" s="19">
        <v>1</v>
      </c>
      <c r="DD81" s="19">
        <v>0</v>
      </c>
      <c r="DE81" s="19">
        <v>0</v>
      </c>
      <c r="DF81" s="19">
        <v>0</v>
      </c>
      <c r="DG81" s="19">
        <v>0</v>
      </c>
      <c r="DH81" s="19">
        <v>0</v>
      </c>
      <c r="DI81" s="19">
        <v>1</v>
      </c>
      <c r="DJ81" s="21">
        <v>30426</v>
      </c>
      <c r="DK81" s="19">
        <v>117804255</v>
      </c>
      <c r="DL81" s="19">
        <v>91969963</v>
      </c>
      <c r="DM81" s="19">
        <v>6800</v>
      </c>
      <c r="DN81" s="19">
        <v>4817740</v>
      </c>
      <c r="DO81" s="19">
        <v>1361478</v>
      </c>
      <c r="DP81" s="19">
        <v>11034350</v>
      </c>
      <c r="DQ81" s="19">
        <v>1274791</v>
      </c>
      <c r="DR81" s="19">
        <v>6576957</v>
      </c>
      <c r="DS81" s="19">
        <v>762176</v>
      </c>
      <c r="DT81" s="22">
        <v>0.24</v>
      </c>
    </row>
    <row r="82" spans="1:124" x14ac:dyDescent="0.35">
      <c r="A82" s="19" t="s">
        <v>163</v>
      </c>
      <c r="B82" s="19" t="s">
        <v>205</v>
      </c>
      <c r="C82" s="19">
        <v>1071362.3885959014</v>
      </c>
      <c r="D82" s="19">
        <v>171417.98217534422</v>
      </c>
      <c r="E82" s="20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39</v>
      </c>
      <c r="BA82" s="19">
        <v>60</v>
      </c>
      <c r="BB82" s="19">
        <v>1</v>
      </c>
      <c r="BC82" s="19">
        <v>8</v>
      </c>
      <c r="BD82" s="19">
        <v>108</v>
      </c>
      <c r="BE82" s="19">
        <v>0</v>
      </c>
      <c r="BF82" s="19">
        <v>6</v>
      </c>
      <c r="BG82" s="19">
        <v>1</v>
      </c>
      <c r="BH82" s="19">
        <v>178</v>
      </c>
      <c r="BI82" s="19">
        <v>74</v>
      </c>
      <c r="BJ82" s="19">
        <v>0</v>
      </c>
      <c r="BK82" s="19">
        <v>0</v>
      </c>
      <c r="BL82" s="19">
        <v>11234</v>
      </c>
      <c r="BM82" s="19">
        <v>513</v>
      </c>
      <c r="BN82" s="19">
        <v>76</v>
      </c>
      <c r="BO82" s="19">
        <v>4780</v>
      </c>
      <c r="BP82" s="19">
        <v>0</v>
      </c>
      <c r="BQ82" s="19">
        <v>0</v>
      </c>
      <c r="BR82" s="19">
        <v>1</v>
      </c>
      <c r="BS82" s="19">
        <v>0</v>
      </c>
      <c r="BT82" s="19">
        <v>0</v>
      </c>
      <c r="BU82" s="19">
        <v>0</v>
      </c>
      <c r="BV82" s="19">
        <v>0</v>
      </c>
      <c r="BW82" s="19">
        <v>0</v>
      </c>
      <c r="BX82" s="19">
        <v>0</v>
      </c>
      <c r="BY82" s="19">
        <v>0</v>
      </c>
      <c r="BZ82" s="19">
        <v>0</v>
      </c>
      <c r="CA82" s="19">
        <v>0</v>
      </c>
      <c r="CB82" s="19">
        <v>0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19">
        <v>0</v>
      </c>
      <c r="CR82" s="19">
        <v>0</v>
      </c>
      <c r="CS82" s="19">
        <v>0</v>
      </c>
      <c r="CT82" s="19">
        <v>0</v>
      </c>
      <c r="CU82" s="19">
        <v>0</v>
      </c>
      <c r="CV82" s="19">
        <v>0</v>
      </c>
      <c r="CW82" s="19">
        <v>0</v>
      </c>
      <c r="CX82" s="19">
        <v>0</v>
      </c>
      <c r="CY82" s="19">
        <v>0</v>
      </c>
      <c r="CZ82" s="19">
        <v>0</v>
      </c>
      <c r="DA82" s="19">
        <v>0</v>
      </c>
      <c r="DB82" s="19">
        <v>0</v>
      </c>
      <c r="DC82" s="19">
        <v>0</v>
      </c>
      <c r="DD82" s="19">
        <v>0</v>
      </c>
      <c r="DE82" s="19">
        <v>0</v>
      </c>
      <c r="DF82" s="19">
        <v>0</v>
      </c>
      <c r="DG82" s="19">
        <v>0</v>
      </c>
      <c r="DH82" s="19">
        <v>0</v>
      </c>
      <c r="DI82" s="19">
        <v>0</v>
      </c>
      <c r="DJ82" s="21">
        <v>30719</v>
      </c>
      <c r="DK82" s="19">
        <v>0</v>
      </c>
      <c r="DL82" s="19">
        <v>0</v>
      </c>
      <c r="DM82" s="19">
        <v>0</v>
      </c>
      <c r="DN82" s="19">
        <v>0</v>
      </c>
      <c r="DO82" s="19">
        <v>0</v>
      </c>
      <c r="DP82" s="19">
        <v>0</v>
      </c>
      <c r="DQ82" s="19">
        <v>0</v>
      </c>
      <c r="DR82" s="19">
        <v>0</v>
      </c>
      <c r="DS82" s="19">
        <v>0</v>
      </c>
      <c r="DT82" s="22">
        <v>0.32</v>
      </c>
    </row>
    <row r="83" spans="1:124" x14ac:dyDescent="0.35">
      <c r="A83" s="19" t="s">
        <v>206</v>
      </c>
      <c r="B83" s="19" t="s">
        <v>207</v>
      </c>
      <c r="C83" s="19">
        <v>2099863.2500409666</v>
      </c>
      <c r="D83" s="19">
        <v>335978.12000655464</v>
      </c>
      <c r="E83" s="20">
        <v>2141506</v>
      </c>
      <c r="F83" s="19">
        <v>10</v>
      </c>
      <c r="G83" s="19">
        <v>4905</v>
      </c>
      <c r="H83" s="19">
        <v>1630</v>
      </c>
      <c r="I83" s="19">
        <v>1816386</v>
      </c>
      <c r="J83" s="19">
        <v>7</v>
      </c>
      <c r="K83" s="19">
        <v>584</v>
      </c>
      <c r="L83" s="19">
        <v>2</v>
      </c>
      <c r="M83" s="19">
        <v>17173</v>
      </c>
      <c r="N83" s="19">
        <v>1406</v>
      </c>
      <c r="O83" s="19">
        <v>0</v>
      </c>
      <c r="P83" s="19">
        <v>72</v>
      </c>
      <c r="Q83" s="19">
        <v>0</v>
      </c>
      <c r="R83" s="19">
        <v>5</v>
      </c>
      <c r="S83" s="19">
        <v>13</v>
      </c>
      <c r="T83" s="19">
        <v>15060</v>
      </c>
      <c r="U83" s="19">
        <v>277032</v>
      </c>
      <c r="V83" s="19">
        <v>0</v>
      </c>
      <c r="W83" s="19">
        <v>44</v>
      </c>
      <c r="X83" s="19">
        <v>4</v>
      </c>
      <c r="Y83" s="19">
        <v>941</v>
      </c>
      <c r="Z83" s="19">
        <v>1279</v>
      </c>
      <c r="AA83" s="19">
        <v>18</v>
      </c>
      <c r="AB83" s="19">
        <v>10</v>
      </c>
      <c r="AC83" s="19">
        <v>4925</v>
      </c>
      <c r="AD83" s="19">
        <v>45826.61384615385</v>
      </c>
      <c r="AE83" s="19">
        <v>18163.86</v>
      </c>
      <c r="AF83" s="19">
        <v>3434.6</v>
      </c>
      <c r="AG83" s="19">
        <v>2900</v>
      </c>
      <c r="AH83" s="19">
        <v>21310.153846153848</v>
      </c>
      <c r="AI83" s="19">
        <v>0</v>
      </c>
      <c r="AJ83" s="19">
        <v>18</v>
      </c>
      <c r="AK83" s="19">
        <v>40261</v>
      </c>
      <c r="AL83" s="19">
        <v>15136</v>
      </c>
      <c r="AM83" s="19">
        <v>3676</v>
      </c>
      <c r="AN83" s="19">
        <v>5391</v>
      </c>
      <c r="AO83" s="19">
        <v>15878</v>
      </c>
      <c r="AP83" s="19">
        <v>180</v>
      </c>
      <c r="AQ83" s="19">
        <v>0</v>
      </c>
      <c r="AR83" s="19">
        <v>19531</v>
      </c>
      <c r="AS83" s="19">
        <v>2900</v>
      </c>
      <c r="AT83" s="19">
        <v>518</v>
      </c>
      <c r="AU83" s="19">
        <v>360</v>
      </c>
      <c r="AV83" s="19">
        <v>340</v>
      </c>
      <c r="AW83" s="19">
        <v>26244</v>
      </c>
      <c r="AX83" s="19">
        <v>414</v>
      </c>
      <c r="AY83" s="19">
        <v>0</v>
      </c>
      <c r="AZ83" s="19">
        <v>55</v>
      </c>
      <c r="BA83" s="19">
        <v>39</v>
      </c>
      <c r="BB83" s="19">
        <v>1</v>
      </c>
      <c r="BC83" s="19">
        <v>15</v>
      </c>
      <c r="BD83" s="19">
        <v>110</v>
      </c>
      <c r="BE83" s="19">
        <v>0</v>
      </c>
      <c r="BF83" s="19">
        <v>7</v>
      </c>
      <c r="BG83" s="19">
        <v>1</v>
      </c>
      <c r="BH83" s="19">
        <v>562</v>
      </c>
      <c r="BI83" s="19">
        <v>44</v>
      </c>
      <c r="BJ83" s="19">
        <v>0</v>
      </c>
      <c r="BK83" s="19">
        <v>0</v>
      </c>
      <c r="BL83" s="19">
        <v>858</v>
      </c>
      <c r="BM83" s="19">
        <v>51</v>
      </c>
      <c r="BN83" s="19">
        <v>0</v>
      </c>
      <c r="BO83" s="19">
        <v>56</v>
      </c>
      <c r="BP83" s="19">
        <v>0</v>
      </c>
      <c r="BQ83" s="19">
        <v>0</v>
      </c>
      <c r="BR83" s="19">
        <v>1</v>
      </c>
      <c r="BS83" s="19">
        <v>1</v>
      </c>
      <c r="BT83" s="19">
        <v>0</v>
      </c>
      <c r="BU83" s="19">
        <v>0</v>
      </c>
      <c r="BV83" s="19">
        <v>0</v>
      </c>
      <c r="BW83" s="19">
        <v>0</v>
      </c>
      <c r="BX83" s="19">
        <v>0</v>
      </c>
      <c r="BY83" s="19">
        <v>0</v>
      </c>
      <c r="BZ83" s="19">
        <v>0</v>
      </c>
      <c r="CA83" s="19">
        <v>0</v>
      </c>
      <c r="CB83" s="19">
        <v>1</v>
      </c>
      <c r="CC83" s="19">
        <v>0</v>
      </c>
      <c r="CD83" s="19">
        <v>1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0</v>
      </c>
      <c r="CL83" s="19">
        <v>0</v>
      </c>
      <c r="CM83" s="19">
        <v>0</v>
      </c>
      <c r="CN83" s="19">
        <v>0</v>
      </c>
      <c r="CO83" s="19">
        <v>0</v>
      </c>
      <c r="CP83" s="19">
        <v>0</v>
      </c>
      <c r="CQ83" s="19">
        <v>0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19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>
        <v>0</v>
      </c>
      <c r="DG83" s="19">
        <v>0</v>
      </c>
      <c r="DH83" s="19">
        <v>0</v>
      </c>
      <c r="DI83" s="19">
        <v>0</v>
      </c>
      <c r="DJ83" s="21">
        <v>40118</v>
      </c>
      <c r="DK83" s="19">
        <v>28349032</v>
      </c>
      <c r="DL83" s="19">
        <v>18757994</v>
      </c>
      <c r="DM83" s="19">
        <v>0</v>
      </c>
      <c r="DN83" s="19">
        <v>1774493</v>
      </c>
      <c r="DO83" s="19">
        <v>146050</v>
      </c>
      <c r="DP83" s="19">
        <v>1462236</v>
      </c>
      <c r="DQ83" s="19">
        <v>607991</v>
      </c>
      <c r="DR83" s="19">
        <v>5494113</v>
      </c>
      <c r="DS83" s="19">
        <v>106155</v>
      </c>
      <c r="DT83" s="22">
        <v>0.21</v>
      </c>
    </row>
    <row r="84" spans="1:124" x14ac:dyDescent="0.35">
      <c r="A84" s="19" t="s">
        <v>206</v>
      </c>
      <c r="B84" s="19" t="s">
        <v>208</v>
      </c>
      <c r="C84" s="19">
        <v>1879035.2008012899</v>
      </c>
      <c r="D84" s="19">
        <v>300645.63212820637</v>
      </c>
      <c r="E84" s="20">
        <v>3166586</v>
      </c>
      <c r="F84" s="19">
        <v>188</v>
      </c>
      <c r="G84" s="19">
        <v>12213</v>
      </c>
      <c r="H84" s="19">
        <v>214</v>
      </c>
      <c r="I84" s="19">
        <v>2576827</v>
      </c>
      <c r="J84" s="19">
        <v>40</v>
      </c>
      <c r="K84" s="19">
        <v>9665</v>
      </c>
      <c r="L84" s="19">
        <v>474</v>
      </c>
      <c r="M84" s="19">
        <v>93800</v>
      </c>
      <c r="N84" s="19">
        <v>2020</v>
      </c>
      <c r="O84" s="19">
        <v>20</v>
      </c>
      <c r="P84" s="19">
        <v>161</v>
      </c>
      <c r="Q84" s="19">
        <v>0</v>
      </c>
      <c r="R84" s="19">
        <v>23</v>
      </c>
      <c r="S84" s="19">
        <v>26</v>
      </c>
      <c r="T84" s="19">
        <v>800</v>
      </c>
      <c r="U84" s="19">
        <v>444650</v>
      </c>
      <c r="V84" s="19">
        <v>124</v>
      </c>
      <c r="W84" s="19">
        <v>1264</v>
      </c>
      <c r="X84" s="19">
        <v>139</v>
      </c>
      <c r="Y84" s="19">
        <v>5463</v>
      </c>
      <c r="Z84" s="19">
        <v>17942</v>
      </c>
      <c r="AA84" s="19">
        <v>42</v>
      </c>
      <c r="AB84" s="19">
        <v>370</v>
      </c>
      <c r="AC84" s="19">
        <v>121</v>
      </c>
      <c r="AD84" s="19">
        <v>86916.11615384616</v>
      </c>
      <c r="AE84" s="19">
        <v>25768.27</v>
      </c>
      <c r="AF84" s="19">
        <v>18760</v>
      </c>
      <c r="AG84" s="19">
        <v>8122</v>
      </c>
      <c r="AH84" s="19">
        <v>34203.846153846156</v>
      </c>
      <c r="AI84" s="19">
        <v>20</v>
      </c>
      <c r="AJ84" s="19">
        <v>42</v>
      </c>
      <c r="AK84" s="19">
        <v>74836</v>
      </c>
      <c r="AL84" s="19">
        <v>21472</v>
      </c>
      <c r="AM84" s="19">
        <v>18580</v>
      </c>
      <c r="AN84" s="19">
        <v>7032</v>
      </c>
      <c r="AO84" s="19">
        <v>27256</v>
      </c>
      <c r="AP84" s="19">
        <v>420</v>
      </c>
      <c r="AQ84" s="19">
        <v>76</v>
      </c>
      <c r="AR84" s="19">
        <v>67011</v>
      </c>
      <c r="AS84" s="19">
        <v>8122</v>
      </c>
      <c r="AT84" s="19">
        <v>945</v>
      </c>
      <c r="AU84" s="19">
        <v>1185</v>
      </c>
      <c r="AV84" s="19">
        <v>999</v>
      </c>
      <c r="AW84" s="19">
        <v>45540</v>
      </c>
      <c r="AX84" s="19">
        <v>1378</v>
      </c>
      <c r="AY84" s="19">
        <v>0</v>
      </c>
      <c r="AZ84" s="19">
        <v>61</v>
      </c>
      <c r="BA84" s="19">
        <v>67</v>
      </c>
      <c r="BB84" s="19">
        <v>6</v>
      </c>
      <c r="BC84" s="19">
        <v>7</v>
      </c>
      <c r="BD84" s="19">
        <v>141</v>
      </c>
      <c r="BE84" s="19">
        <v>0</v>
      </c>
      <c r="BF84" s="19">
        <v>53</v>
      </c>
      <c r="BG84" s="19">
        <v>3</v>
      </c>
      <c r="BH84" s="19">
        <v>356</v>
      </c>
      <c r="BI84" s="19">
        <v>145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1</v>
      </c>
      <c r="BQ84" s="19">
        <v>1</v>
      </c>
      <c r="BR84" s="19">
        <v>1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1</v>
      </c>
      <c r="CA84" s="19">
        <v>1</v>
      </c>
      <c r="CB84" s="19">
        <v>0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0</v>
      </c>
      <c r="CN84" s="19">
        <v>0</v>
      </c>
      <c r="CO84" s="19">
        <v>0</v>
      </c>
      <c r="CP84" s="19">
        <v>0</v>
      </c>
      <c r="CQ84" s="19">
        <v>0</v>
      </c>
      <c r="CR84" s="19">
        <v>0</v>
      </c>
      <c r="CS84" s="19">
        <v>0</v>
      </c>
      <c r="CT84" s="19">
        <v>1</v>
      </c>
      <c r="CU84" s="19">
        <v>1</v>
      </c>
      <c r="CV84" s="19">
        <v>0</v>
      </c>
      <c r="CW84" s="19">
        <v>0</v>
      </c>
      <c r="CX84" s="19">
        <v>0</v>
      </c>
      <c r="CY84" s="19">
        <v>0</v>
      </c>
      <c r="CZ84" s="19">
        <v>0</v>
      </c>
      <c r="DA84" s="19">
        <v>0</v>
      </c>
      <c r="DB84" s="19">
        <v>0</v>
      </c>
      <c r="DC84" s="19">
        <v>0</v>
      </c>
      <c r="DD84" s="19">
        <v>0</v>
      </c>
      <c r="DE84" s="19">
        <v>1</v>
      </c>
      <c r="DF84" s="19">
        <v>0</v>
      </c>
      <c r="DG84" s="19">
        <v>0</v>
      </c>
      <c r="DH84" s="19">
        <v>1</v>
      </c>
      <c r="DI84" s="19">
        <v>1</v>
      </c>
      <c r="DJ84" s="21">
        <v>40212</v>
      </c>
      <c r="DK84" s="19">
        <v>76111920</v>
      </c>
      <c r="DL84" s="19">
        <v>35901910</v>
      </c>
      <c r="DM84" s="19">
        <v>4000</v>
      </c>
      <c r="DN84" s="19">
        <v>10571479</v>
      </c>
      <c r="DO84" s="19">
        <v>226147</v>
      </c>
      <c r="DP84" s="19">
        <v>19139656</v>
      </c>
      <c r="DQ84" s="19">
        <v>154571</v>
      </c>
      <c r="DR84" s="19">
        <v>9851096</v>
      </c>
      <c r="DS84" s="19">
        <v>263061</v>
      </c>
      <c r="DT84" s="22">
        <v>0.24</v>
      </c>
    </row>
    <row r="85" spans="1:124" x14ac:dyDescent="0.35">
      <c r="A85" s="19" t="s">
        <v>206</v>
      </c>
      <c r="B85" s="19" t="s">
        <v>209</v>
      </c>
      <c r="C85" s="19">
        <v>1911700.8978013073</v>
      </c>
      <c r="D85" s="19">
        <v>305872.14364820917</v>
      </c>
      <c r="E85" s="20">
        <v>1932702</v>
      </c>
      <c r="F85" s="19">
        <v>20</v>
      </c>
      <c r="G85" s="19">
        <v>1052</v>
      </c>
      <c r="H85" s="19">
        <v>22</v>
      </c>
      <c r="I85" s="19">
        <v>1532695</v>
      </c>
      <c r="J85" s="19">
        <v>10</v>
      </c>
      <c r="K85" s="19">
        <v>2278</v>
      </c>
      <c r="L85" s="19">
        <v>191</v>
      </c>
      <c r="M85" s="19">
        <v>52842</v>
      </c>
      <c r="N85" s="19">
        <v>1696</v>
      </c>
      <c r="O85" s="19">
        <v>0</v>
      </c>
      <c r="P85" s="19">
        <v>72</v>
      </c>
      <c r="Q85" s="19">
        <v>0</v>
      </c>
      <c r="R85" s="19">
        <v>33</v>
      </c>
      <c r="S85" s="19">
        <v>123</v>
      </c>
      <c r="T85" s="19">
        <v>3600</v>
      </c>
      <c r="U85" s="19">
        <v>324828</v>
      </c>
      <c r="V85" s="19">
        <v>10</v>
      </c>
      <c r="W85" s="19">
        <v>166</v>
      </c>
      <c r="X85" s="19">
        <v>115</v>
      </c>
      <c r="Y85" s="19">
        <v>6309</v>
      </c>
      <c r="Z85" s="19">
        <v>5120</v>
      </c>
      <c r="AA85" s="19">
        <v>0</v>
      </c>
      <c r="AB85" s="19">
        <v>20</v>
      </c>
      <c r="AC85" s="19">
        <v>1500</v>
      </c>
      <c r="AD85" s="19">
        <v>56957.119230769225</v>
      </c>
      <c r="AE85" s="19">
        <v>15326.95</v>
      </c>
      <c r="AF85" s="19">
        <v>10568.4</v>
      </c>
      <c r="AG85" s="19">
        <v>6075</v>
      </c>
      <c r="AH85" s="19">
        <v>24986.76923076923</v>
      </c>
      <c r="AI85" s="19">
        <v>0</v>
      </c>
      <c r="AJ85" s="19">
        <v>0</v>
      </c>
      <c r="AK85" s="19">
        <v>50463</v>
      </c>
      <c r="AL85" s="19">
        <v>12772</v>
      </c>
      <c r="AM85" s="19">
        <v>9320</v>
      </c>
      <c r="AN85" s="19">
        <v>6105</v>
      </c>
      <c r="AO85" s="19">
        <v>22266</v>
      </c>
      <c r="AP85" s="19">
        <v>0</v>
      </c>
      <c r="AQ85" s="19">
        <v>0</v>
      </c>
      <c r="AR85" s="19">
        <v>52116</v>
      </c>
      <c r="AS85" s="19">
        <v>6075</v>
      </c>
      <c r="AT85" s="19">
        <v>3933</v>
      </c>
      <c r="AU85" s="19">
        <v>1728</v>
      </c>
      <c r="AV85" s="19">
        <v>453</v>
      </c>
      <c r="AW85" s="19">
        <v>30428</v>
      </c>
      <c r="AX85" s="19">
        <v>2309</v>
      </c>
      <c r="AY85" s="19">
        <v>11723</v>
      </c>
      <c r="AZ85" s="19">
        <v>127</v>
      </c>
      <c r="BA85" s="19">
        <v>67</v>
      </c>
      <c r="BB85" s="19">
        <v>8</v>
      </c>
      <c r="BC85" s="19">
        <v>11</v>
      </c>
      <c r="BD85" s="19">
        <v>213</v>
      </c>
      <c r="BE85" s="19">
        <v>82</v>
      </c>
      <c r="BF85" s="19">
        <v>11</v>
      </c>
      <c r="BG85" s="19">
        <v>3</v>
      </c>
      <c r="BH85" s="19">
        <v>437</v>
      </c>
      <c r="BI85" s="19">
        <v>31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1</v>
      </c>
      <c r="BQ85" s="19">
        <v>0</v>
      </c>
      <c r="BR85" s="19">
        <v>1</v>
      </c>
      <c r="BS85" s="19">
        <v>0</v>
      </c>
      <c r="BT85" s="19">
        <v>0</v>
      </c>
      <c r="BU85" s="19">
        <v>0</v>
      </c>
      <c r="BV85" s="19">
        <v>0</v>
      </c>
      <c r="BW85" s="19">
        <v>0</v>
      </c>
      <c r="BX85" s="19">
        <v>0</v>
      </c>
      <c r="BY85" s="19">
        <v>0</v>
      </c>
      <c r="BZ85" s="19">
        <v>1</v>
      </c>
      <c r="CA85" s="19">
        <v>0</v>
      </c>
      <c r="CB85" s="19">
        <v>0</v>
      </c>
      <c r="CC85" s="19">
        <v>0</v>
      </c>
      <c r="CD85" s="19">
        <v>0</v>
      </c>
      <c r="CE85" s="19">
        <v>0</v>
      </c>
      <c r="CF85" s="19">
        <v>0</v>
      </c>
      <c r="CG85" s="19">
        <v>0</v>
      </c>
      <c r="CH85" s="19">
        <v>1</v>
      </c>
      <c r="CI85" s="19">
        <v>1</v>
      </c>
      <c r="CJ85" s="19">
        <v>1</v>
      </c>
      <c r="CK85" s="19">
        <v>1</v>
      </c>
      <c r="CL85" s="19">
        <v>1</v>
      </c>
      <c r="CM85" s="19">
        <v>1</v>
      </c>
      <c r="CN85" s="19">
        <v>1</v>
      </c>
      <c r="CO85" s="19">
        <v>0</v>
      </c>
      <c r="CP85" s="19">
        <v>0</v>
      </c>
      <c r="CQ85" s="19">
        <v>0</v>
      </c>
      <c r="CR85" s="19">
        <v>0</v>
      </c>
      <c r="CS85" s="19">
        <v>0</v>
      </c>
      <c r="CT85" s="19">
        <v>1</v>
      </c>
      <c r="CU85" s="19">
        <v>1</v>
      </c>
      <c r="CV85" s="19">
        <v>0</v>
      </c>
      <c r="CW85" s="19">
        <v>0</v>
      </c>
      <c r="CX85" s="19">
        <v>0</v>
      </c>
      <c r="CY85" s="19">
        <v>0</v>
      </c>
      <c r="CZ85" s="19">
        <v>0</v>
      </c>
      <c r="DA85" s="19">
        <v>0</v>
      </c>
      <c r="DB85" s="19">
        <v>0</v>
      </c>
      <c r="DC85" s="19">
        <v>0</v>
      </c>
      <c r="DD85" s="19">
        <v>0</v>
      </c>
      <c r="DE85" s="19">
        <v>1</v>
      </c>
      <c r="DF85" s="19">
        <v>0</v>
      </c>
      <c r="DG85" s="19">
        <v>0</v>
      </c>
      <c r="DH85" s="19">
        <v>0</v>
      </c>
      <c r="DI85" s="19">
        <v>0</v>
      </c>
      <c r="DJ85" s="21">
        <v>40207</v>
      </c>
      <c r="DK85" s="19">
        <v>30304826</v>
      </c>
      <c r="DL85" s="19">
        <v>12343849</v>
      </c>
      <c r="DM85" s="19">
        <v>0</v>
      </c>
      <c r="DN85" s="19">
        <v>4506081</v>
      </c>
      <c r="DO85" s="19">
        <v>196579</v>
      </c>
      <c r="DP85" s="19">
        <v>6183568</v>
      </c>
      <c r="DQ85" s="19">
        <v>215019</v>
      </c>
      <c r="DR85" s="19">
        <v>6837795</v>
      </c>
      <c r="DS85" s="19">
        <v>21935</v>
      </c>
      <c r="DT85" s="22">
        <v>0.21</v>
      </c>
    </row>
    <row r="86" spans="1:124" x14ac:dyDescent="0.35">
      <c r="A86" s="19" t="s">
        <v>206</v>
      </c>
      <c r="B86" s="19" t="s">
        <v>210</v>
      </c>
      <c r="C86" s="19">
        <v>2623414.9222629424</v>
      </c>
      <c r="D86" s="19">
        <v>419746.3875620708</v>
      </c>
      <c r="E86" s="20">
        <v>57777408</v>
      </c>
      <c r="F86" s="19">
        <v>2613</v>
      </c>
      <c r="G86" s="19">
        <v>33513</v>
      </c>
      <c r="H86" s="19">
        <v>2905</v>
      </c>
      <c r="I86" s="19">
        <v>56778921</v>
      </c>
      <c r="J86" s="19">
        <v>430</v>
      </c>
      <c r="K86" s="19">
        <v>9705</v>
      </c>
      <c r="L86" s="19">
        <v>1825</v>
      </c>
      <c r="M86" s="19">
        <v>42347</v>
      </c>
      <c r="N86" s="19">
        <v>15798</v>
      </c>
      <c r="O86" s="19">
        <v>40</v>
      </c>
      <c r="P86" s="19">
        <v>1083</v>
      </c>
      <c r="Q86" s="19">
        <v>0</v>
      </c>
      <c r="R86" s="19">
        <v>240</v>
      </c>
      <c r="S86" s="19">
        <v>1336</v>
      </c>
      <c r="T86" s="19">
        <v>67060</v>
      </c>
      <c r="U86" s="19">
        <v>762467</v>
      </c>
      <c r="V86" s="19">
        <v>174</v>
      </c>
      <c r="W86" s="19">
        <v>3384</v>
      </c>
      <c r="X86" s="19">
        <v>542</v>
      </c>
      <c r="Y86" s="19">
        <v>16137</v>
      </c>
      <c r="Z86" s="19">
        <v>15088</v>
      </c>
      <c r="AA86" s="19">
        <v>5</v>
      </c>
      <c r="AB86" s="19">
        <v>1050</v>
      </c>
      <c r="AC86" s="19">
        <v>20745</v>
      </c>
      <c r="AD86" s="19">
        <v>651765.91769230773</v>
      </c>
      <c r="AE86" s="19">
        <v>567789.21</v>
      </c>
      <c r="AF86" s="19">
        <v>8469.4</v>
      </c>
      <c r="AG86" s="19">
        <v>16811</v>
      </c>
      <c r="AH86" s="19">
        <v>58651.307692307695</v>
      </c>
      <c r="AI86" s="19">
        <v>40</v>
      </c>
      <c r="AJ86" s="19">
        <v>5</v>
      </c>
      <c r="AK86" s="19">
        <v>586401</v>
      </c>
      <c r="AL86" s="19">
        <v>473158</v>
      </c>
      <c r="AM86" s="19">
        <v>7978</v>
      </c>
      <c r="AN86" s="19">
        <v>55817</v>
      </c>
      <c r="AO86" s="19">
        <v>49246</v>
      </c>
      <c r="AP86" s="19">
        <v>50</v>
      </c>
      <c r="AQ86" s="19">
        <v>152</v>
      </c>
      <c r="AR86" s="19">
        <v>109096</v>
      </c>
      <c r="AS86" s="19">
        <v>16811</v>
      </c>
      <c r="AT86" s="19">
        <v>7988</v>
      </c>
      <c r="AU86" s="19">
        <v>9149.5000000000055</v>
      </c>
      <c r="AV86" s="19">
        <v>1839</v>
      </c>
      <c r="AW86" s="19">
        <v>65850</v>
      </c>
      <c r="AX86" s="19">
        <v>11091</v>
      </c>
      <c r="AY86" s="19">
        <v>27197.443389435437</v>
      </c>
      <c r="AZ86" s="19">
        <v>466</v>
      </c>
      <c r="BA86" s="19">
        <v>59</v>
      </c>
      <c r="BB86" s="19">
        <v>9</v>
      </c>
      <c r="BC86" s="19">
        <v>8</v>
      </c>
      <c r="BD86" s="19">
        <v>542</v>
      </c>
      <c r="BE86" s="19">
        <v>241</v>
      </c>
      <c r="BF86" s="19">
        <v>40</v>
      </c>
      <c r="BG86" s="19">
        <v>5</v>
      </c>
      <c r="BH86" s="19">
        <v>816</v>
      </c>
      <c r="BI86" s="19">
        <v>1477</v>
      </c>
      <c r="BJ86" s="19">
        <v>0</v>
      </c>
      <c r="BK86" s="19">
        <v>0</v>
      </c>
      <c r="BL86" s="19">
        <v>29724</v>
      </c>
      <c r="BM86" s="19">
        <v>1179</v>
      </c>
      <c r="BN86" s="19">
        <v>129</v>
      </c>
      <c r="BO86" s="19">
        <v>5177</v>
      </c>
      <c r="BP86" s="19">
        <v>0</v>
      </c>
      <c r="BQ86" s="19">
        <v>0</v>
      </c>
      <c r="BR86" s="19">
        <v>1</v>
      </c>
      <c r="BS86" s="19">
        <v>1</v>
      </c>
      <c r="BT86" s="19">
        <v>0</v>
      </c>
      <c r="BU86" s="19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1</v>
      </c>
      <c r="CF86" s="19">
        <v>1</v>
      </c>
      <c r="CG86" s="19">
        <v>1</v>
      </c>
      <c r="CH86" s="19">
        <v>1</v>
      </c>
      <c r="CI86" s="19">
        <v>1</v>
      </c>
      <c r="CJ86" s="19">
        <v>1</v>
      </c>
      <c r="CK86" s="19">
        <v>1</v>
      </c>
      <c r="CL86" s="19">
        <v>1</v>
      </c>
      <c r="CM86" s="19">
        <v>1</v>
      </c>
      <c r="CN86" s="19">
        <v>1</v>
      </c>
      <c r="CO86" s="19">
        <v>0</v>
      </c>
      <c r="CP86" s="19">
        <v>1</v>
      </c>
      <c r="CQ86" s="19">
        <v>1</v>
      </c>
      <c r="CR86" s="19">
        <v>1</v>
      </c>
      <c r="CS86" s="19">
        <v>1</v>
      </c>
      <c r="CT86" s="19">
        <v>1</v>
      </c>
      <c r="CU86" s="19">
        <v>1</v>
      </c>
      <c r="CV86" s="19">
        <v>0</v>
      </c>
      <c r="CW86" s="19">
        <v>1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19">
        <v>0</v>
      </c>
      <c r="DD86" s="19">
        <v>0</v>
      </c>
      <c r="DE86" s="19">
        <v>1</v>
      </c>
      <c r="DF86" s="19">
        <v>0</v>
      </c>
      <c r="DG86" s="19">
        <v>0</v>
      </c>
      <c r="DH86" s="19">
        <v>0</v>
      </c>
      <c r="DI86" s="19">
        <v>0</v>
      </c>
      <c r="DJ86" s="21">
        <v>40114</v>
      </c>
      <c r="DK86" s="19">
        <v>583426973</v>
      </c>
      <c r="DL86" s="19">
        <v>528652132</v>
      </c>
      <c r="DM86" s="19">
        <v>8000</v>
      </c>
      <c r="DN86" s="19">
        <v>4057389</v>
      </c>
      <c r="DO86" s="19">
        <v>1930394</v>
      </c>
      <c r="DP86" s="19">
        <v>27417171</v>
      </c>
      <c r="DQ86" s="19">
        <v>3847705</v>
      </c>
      <c r="DR86" s="19">
        <v>16808884</v>
      </c>
      <c r="DS86" s="19">
        <v>705298</v>
      </c>
      <c r="DT86" s="22">
        <v>0.31</v>
      </c>
    </row>
    <row r="87" spans="1:124" x14ac:dyDescent="0.35">
      <c r="A87" s="19" t="s">
        <v>206</v>
      </c>
      <c r="B87" s="19" t="s">
        <v>211</v>
      </c>
      <c r="C87" s="19">
        <v>1266225.2583653936</v>
      </c>
      <c r="D87" s="19">
        <v>202596.04133846296</v>
      </c>
      <c r="E87" s="20">
        <v>6702995</v>
      </c>
      <c r="F87" s="19">
        <v>5</v>
      </c>
      <c r="G87" s="19">
        <v>17491</v>
      </c>
      <c r="H87" s="19">
        <v>729</v>
      </c>
      <c r="I87" s="19">
        <v>6349910</v>
      </c>
      <c r="J87" s="19">
        <v>0</v>
      </c>
      <c r="K87" s="19">
        <v>2719</v>
      </c>
      <c r="L87" s="19">
        <v>1283</v>
      </c>
      <c r="M87" s="19">
        <v>60858</v>
      </c>
      <c r="N87" s="19">
        <v>3511</v>
      </c>
      <c r="O87" s="19">
        <v>0</v>
      </c>
      <c r="P87" s="19">
        <v>71</v>
      </c>
      <c r="Q87" s="19">
        <v>0</v>
      </c>
      <c r="R87" s="19">
        <v>61</v>
      </c>
      <c r="S87" s="19">
        <v>0</v>
      </c>
      <c r="T87" s="19">
        <v>1100</v>
      </c>
      <c r="U87" s="19">
        <v>248514</v>
      </c>
      <c r="V87" s="19">
        <v>13</v>
      </c>
      <c r="W87" s="19">
        <v>1076</v>
      </c>
      <c r="X87" s="19">
        <v>80</v>
      </c>
      <c r="Y87" s="19">
        <v>2363</v>
      </c>
      <c r="Z87" s="19">
        <v>12948</v>
      </c>
      <c r="AA87" s="19">
        <v>13</v>
      </c>
      <c r="AB87" s="19">
        <v>190</v>
      </c>
      <c r="AC87" s="19">
        <v>60</v>
      </c>
      <c r="AD87" s="19">
        <v>98425.161538461543</v>
      </c>
      <c r="AE87" s="19">
        <v>63499.1</v>
      </c>
      <c r="AF87" s="19">
        <v>12171.6</v>
      </c>
      <c r="AG87" s="19">
        <v>3625</v>
      </c>
      <c r="AH87" s="19">
        <v>19116.461538461539</v>
      </c>
      <c r="AI87" s="19">
        <v>0</v>
      </c>
      <c r="AJ87" s="19">
        <v>13</v>
      </c>
      <c r="AK87" s="19">
        <v>95891</v>
      </c>
      <c r="AL87" s="19">
        <v>52915</v>
      </c>
      <c r="AM87" s="19">
        <v>13532</v>
      </c>
      <c r="AN87" s="19">
        <v>12289</v>
      </c>
      <c r="AO87" s="19">
        <v>17025</v>
      </c>
      <c r="AP87" s="19">
        <v>130</v>
      </c>
      <c r="AQ87" s="19">
        <v>0</v>
      </c>
      <c r="AR87" s="19">
        <v>36904</v>
      </c>
      <c r="AS87" s="19">
        <v>3625</v>
      </c>
      <c r="AT87" s="19">
        <v>743</v>
      </c>
      <c r="AU87" s="19">
        <v>2212</v>
      </c>
      <c r="AV87" s="19">
        <v>578</v>
      </c>
      <c r="AW87" s="19">
        <v>20141</v>
      </c>
      <c r="AX87" s="19">
        <v>2571</v>
      </c>
      <c r="AY87" s="19">
        <v>0</v>
      </c>
      <c r="AZ87" s="19">
        <v>101</v>
      </c>
      <c r="BA87" s="19">
        <v>39</v>
      </c>
      <c r="BB87" s="19">
        <v>6</v>
      </c>
      <c r="BC87" s="19">
        <v>13</v>
      </c>
      <c r="BD87" s="19">
        <v>159</v>
      </c>
      <c r="BE87" s="19">
        <v>0</v>
      </c>
      <c r="BF87" s="19">
        <v>10</v>
      </c>
      <c r="BG87" s="19">
        <v>2</v>
      </c>
      <c r="BH87" s="19">
        <v>296</v>
      </c>
      <c r="BI87" s="19">
        <v>303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  <c r="BR87" s="19">
        <v>1</v>
      </c>
      <c r="BS87" s="19">
        <v>0</v>
      </c>
      <c r="BT87" s="19">
        <v>0</v>
      </c>
      <c r="BU87" s="19">
        <v>0</v>
      </c>
      <c r="BV87" s="19">
        <v>0</v>
      </c>
      <c r="BW87" s="19">
        <v>0</v>
      </c>
      <c r="BX87" s="19">
        <v>0</v>
      </c>
      <c r="BY87" s="19">
        <v>0</v>
      </c>
      <c r="BZ87" s="19">
        <v>1</v>
      </c>
      <c r="CA87" s="19">
        <v>1</v>
      </c>
      <c r="CB87" s="19">
        <v>0</v>
      </c>
      <c r="CC87" s="19">
        <v>0</v>
      </c>
      <c r="CD87" s="19">
        <v>0</v>
      </c>
      <c r="CE87" s="19">
        <v>0</v>
      </c>
      <c r="CF87" s="19">
        <v>0</v>
      </c>
      <c r="CG87" s="19">
        <v>0</v>
      </c>
      <c r="CH87" s="19">
        <v>0</v>
      </c>
      <c r="CI87" s="19">
        <v>0</v>
      </c>
      <c r="CJ87" s="19">
        <v>0</v>
      </c>
      <c r="CK87" s="19">
        <v>0</v>
      </c>
      <c r="CL87" s="19">
        <v>0</v>
      </c>
      <c r="CM87" s="19">
        <v>0</v>
      </c>
      <c r="CN87" s="19">
        <v>0</v>
      </c>
      <c r="CO87" s="19">
        <v>0</v>
      </c>
      <c r="CP87" s="19">
        <v>0</v>
      </c>
      <c r="CQ87" s="19">
        <v>0</v>
      </c>
      <c r="CR87" s="19">
        <v>0</v>
      </c>
      <c r="CS87" s="19">
        <v>0</v>
      </c>
      <c r="CT87" s="19">
        <v>0</v>
      </c>
      <c r="CU87" s="19">
        <v>0</v>
      </c>
      <c r="CV87" s="19">
        <v>0</v>
      </c>
      <c r="CW87" s="19">
        <v>0</v>
      </c>
      <c r="CX87" s="19">
        <v>0</v>
      </c>
      <c r="CY87" s="19">
        <v>0</v>
      </c>
      <c r="CZ87" s="19">
        <v>0</v>
      </c>
      <c r="DA87" s="19">
        <v>0</v>
      </c>
      <c r="DB87" s="19">
        <v>0</v>
      </c>
      <c r="DC87" s="19">
        <v>0</v>
      </c>
      <c r="DD87" s="19">
        <v>0</v>
      </c>
      <c r="DE87" s="19">
        <v>0</v>
      </c>
      <c r="DF87" s="19">
        <v>0</v>
      </c>
      <c r="DG87" s="19">
        <v>0</v>
      </c>
      <c r="DH87" s="19">
        <v>0</v>
      </c>
      <c r="DI87" s="19">
        <v>1</v>
      </c>
      <c r="DJ87" s="21">
        <v>40201</v>
      </c>
      <c r="DK87" s="19">
        <v>117546924</v>
      </c>
      <c r="DL87" s="19">
        <v>92475237</v>
      </c>
      <c r="DM87" s="19">
        <v>0</v>
      </c>
      <c r="DN87" s="19">
        <v>6940670</v>
      </c>
      <c r="DO87" s="19">
        <v>493822</v>
      </c>
      <c r="DP87" s="19">
        <v>11610481</v>
      </c>
      <c r="DQ87" s="19">
        <v>26985</v>
      </c>
      <c r="DR87" s="19">
        <v>5632650</v>
      </c>
      <c r="DS87" s="19">
        <v>367079</v>
      </c>
      <c r="DT87" s="22">
        <v>0.2</v>
      </c>
    </row>
    <row r="88" spans="1:124" x14ac:dyDescent="0.35">
      <c r="A88" s="19" t="s">
        <v>206</v>
      </c>
      <c r="B88" s="19" t="s">
        <v>212</v>
      </c>
      <c r="C88" s="19">
        <v>1204980.1770839386</v>
      </c>
      <c r="D88" s="19">
        <v>192796.82833343017</v>
      </c>
      <c r="E88" s="20">
        <v>1662927</v>
      </c>
      <c r="F88" s="19">
        <v>642</v>
      </c>
      <c r="G88" s="19">
        <v>7409</v>
      </c>
      <c r="H88" s="19">
        <v>871</v>
      </c>
      <c r="I88" s="19">
        <v>1340830</v>
      </c>
      <c r="J88" s="19">
        <v>77</v>
      </c>
      <c r="K88" s="19">
        <v>2228</v>
      </c>
      <c r="L88" s="19">
        <v>341</v>
      </c>
      <c r="M88" s="19">
        <v>47044</v>
      </c>
      <c r="N88" s="19">
        <v>1891</v>
      </c>
      <c r="O88" s="19">
        <v>0</v>
      </c>
      <c r="P88" s="19">
        <v>291</v>
      </c>
      <c r="Q88" s="19">
        <v>0</v>
      </c>
      <c r="R88" s="19">
        <v>5</v>
      </c>
      <c r="S88" s="19">
        <v>168</v>
      </c>
      <c r="T88" s="19">
        <v>8940</v>
      </c>
      <c r="U88" s="19">
        <v>246175</v>
      </c>
      <c r="V88" s="19">
        <v>1</v>
      </c>
      <c r="W88" s="19">
        <v>77</v>
      </c>
      <c r="X88" s="19">
        <v>41</v>
      </c>
      <c r="Y88" s="19">
        <v>1847</v>
      </c>
      <c r="Z88" s="19">
        <v>1269</v>
      </c>
      <c r="AA88" s="19">
        <v>0</v>
      </c>
      <c r="AB88" s="19">
        <v>130</v>
      </c>
      <c r="AC88" s="19">
        <v>2650</v>
      </c>
      <c r="AD88" s="19">
        <v>44522.63846153846</v>
      </c>
      <c r="AE88" s="19">
        <v>13408.3</v>
      </c>
      <c r="AF88" s="19">
        <v>9408.7999999999993</v>
      </c>
      <c r="AG88" s="19">
        <v>2769</v>
      </c>
      <c r="AH88" s="19">
        <v>18936.538461538461</v>
      </c>
      <c r="AI88" s="19">
        <v>0</v>
      </c>
      <c r="AJ88" s="19">
        <v>0</v>
      </c>
      <c r="AK88" s="19">
        <v>40862</v>
      </c>
      <c r="AL88" s="19">
        <v>11174</v>
      </c>
      <c r="AM88" s="19">
        <v>8029</v>
      </c>
      <c r="AN88" s="19">
        <v>6697</v>
      </c>
      <c r="AO88" s="19">
        <v>14962</v>
      </c>
      <c r="AP88" s="19">
        <v>0</v>
      </c>
      <c r="AQ88" s="19">
        <v>0</v>
      </c>
      <c r="AR88" s="19">
        <v>18757</v>
      </c>
      <c r="AS88" s="19">
        <v>2769</v>
      </c>
      <c r="AT88" s="19">
        <v>1831</v>
      </c>
      <c r="AU88" s="19">
        <v>1593.7</v>
      </c>
      <c r="AV88" s="19">
        <v>1148</v>
      </c>
      <c r="AW88" s="19">
        <v>13087</v>
      </c>
      <c r="AX88" s="19">
        <v>1909</v>
      </c>
      <c r="AY88" s="19">
        <v>0</v>
      </c>
      <c r="AZ88" s="19">
        <v>38</v>
      </c>
      <c r="BA88" s="19">
        <v>47</v>
      </c>
      <c r="BB88" s="19">
        <v>0</v>
      </c>
      <c r="BC88" s="19">
        <v>3</v>
      </c>
      <c r="BD88" s="19">
        <v>88</v>
      </c>
      <c r="BE88" s="19">
        <v>0</v>
      </c>
      <c r="BF88" s="19">
        <v>13</v>
      </c>
      <c r="BG88" s="19">
        <v>2</v>
      </c>
      <c r="BH88" s="19">
        <v>231</v>
      </c>
      <c r="BI88" s="19">
        <v>138</v>
      </c>
      <c r="BJ88" s="19">
        <v>0</v>
      </c>
      <c r="BK88" s="19">
        <v>0</v>
      </c>
      <c r="BL88" s="19">
        <v>4403</v>
      </c>
      <c r="BM88" s="19">
        <v>155</v>
      </c>
      <c r="BN88" s="19">
        <v>19</v>
      </c>
      <c r="BO88" s="19">
        <v>746</v>
      </c>
      <c r="BP88" s="19">
        <v>0</v>
      </c>
      <c r="BQ88" s="19">
        <v>0</v>
      </c>
      <c r="BR88" s="19">
        <v>1</v>
      </c>
      <c r="BS88" s="19">
        <v>0</v>
      </c>
      <c r="BT88" s="19">
        <v>0</v>
      </c>
      <c r="BU88" s="19">
        <v>0</v>
      </c>
      <c r="BV88" s="19">
        <v>0</v>
      </c>
      <c r="BW88" s="19">
        <v>0</v>
      </c>
      <c r="BX88" s="19">
        <v>0</v>
      </c>
      <c r="BY88" s="19">
        <v>0</v>
      </c>
      <c r="BZ88" s="19">
        <v>1</v>
      </c>
      <c r="CA88" s="19">
        <v>0</v>
      </c>
      <c r="CB88" s="19">
        <v>0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0</v>
      </c>
      <c r="CO88" s="19">
        <v>0</v>
      </c>
      <c r="CP88" s="19">
        <v>1</v>
      </c>
      <c r="CQ88" s="19">
        <v>1</v>
      </c>
      <c r="CR88" s="19">
        <v>1</v>
      </c>
      <c r="CS88" s="19">
        <v>1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19">
        <v>0</v>
      </c>
      <c r="CZ88" s="19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1</v>
      </c>
      <c r="DF88" s="19">
        <v>0</v>
      </c>
      <c r="DG88" s="19">
        <v>0</v>
      </c>
      <c r="DH88" s="19">
        <v>0</v>
      </c>
      <c r="DI88" s="19">
        <v>0</v>
      </c>
      <c r="DJ88" s="21">
        <v>40113</v>
      </c>
      <c r="DK88" s="19">
        <v>29879844</v>
      </c>
      <c r="DL88" s="19">
        <v>14177868</v>
      </c>
      <c r="DM88" s="19">
        <v>0</v>
      </c>
      <c r="DN88" s="19">
        <v>4512371</v>
      </c>
      <c r="DO88" s="19">
        <v>256607</v>
      </c>
      <c r="DP88" s="19">
        <v>5073815</v>
      </c>
      <c r="DQ88" s="19">
        <v>614679</v>
      </c>
      <c r="DR88" s="19">
        <v>5086577</v>
      </c>
      <c r="DS88" s="19">
        <v>157927</v>
      </c>
      <c r="DT88" s="22">
        <v>0.25</v>
      </c>
    </row>
    <row r="89" spans="1:124" x14ac:dyDescent="0.35">
      <c r="A89" s="19" t="s">
        <v>206</v>
      </c>
      <c r="B89" s="19" t="s">
        <v>213</v>
      </c>
      <c r="C89" s="19">
        <v>4122252.6423979471</v>
      </c>
      <c r="D89" s="19">
        <v>659560.42278367153</v>
      </c>
      <c r="E89" s="20">
        <v>27965659</v>
      </c>
      <c r="F89" s="19">
        <v>3684</v>
      </c>
      <c r="G89" s="19">
        <v>50390</v>
      </c>
      <c r="H89" s="19">
        <v>3571</v>
      </c>
      <c r="I89" s="19">
        <v>26873161</v>
      </c>
      <c r="J89" s="19">
        <v>314</v>
      </c>
      <c r="K89" s="19">
        <v>7992</v>
      </c>
      <c r="L89" s="19">
        <v>835</v>
      </c>
      <c r="M89" s="19">
        <v>75131</v>
      </c>
      <c r="N89" s="19">
        <v>14726</v>
      </c>
      <c r="O89" s="19">
        <v>10</v>
      </c>
      <c r="P89" s="19">
        <v>4164</v>
      </c>
      <c r="Q89" s="19">
        <v>0</v>
      </c>
      <c r="R89" s="19">
        <v>167</v>
      </c>
      <c r="S89" s="19">
        <v>1051</v>
      </c>
      <c r="T89" s="19">
        <v>62460</v>
      </c>
      <c r="U89" s="19">
        <v>777156</v>
      </c>
      <c r="V89" s="19">
        <v>318</v>
      </c>
      <c r="W89" s="19">
        <v>3197</v>
      </c>
      <c r="X89" s="19">
        <v>811</v>
      </c>
      <c r="Y89" s="19">
        <v>10939</v>
      </c>
      <c r="Z89" s="19">
        <v>20296</v>
      </c>
      <c r="AA89" s="19">
        <v>12</v>
      </c>
      <c r="AB89" s="19">
        <v>34495</v>
      </c>
      <c r="AC89" s="19">
        <v>20779</v>
      </c>
      <c r="AD89" s="19">
        <v>369746.04076923075</v>
      </c>
      <c r="AE89" s="19">
        <v>268731.61</v>
      </c>
      <c r="AF89" s="19">
        <v>15026.2</v>
      </c>
      <c r="AG89" s="19">
        <v>26185</v>
      </c>
      <c r="AH89" s="19">
        <v>59781.230769230766</v>
      </c>
      <c r="AI89" s="19">
        <v>10</v>
      </c>
      <c r="AJ89" s="19">
        <v>12</v>
      </c>
      <c r="AK89" s="19">
        <v>340509</v>
      </c>
      <c r="AL89" s="19">
        <v>223942</v>
      </c>
      <c r="AM89" s="19">
        <v>15130</v>
      </c>
      <c r="AN89" s="19">
        <v>51287</v>
      </c>
      <c r="AO89" s="19">
        <v>49992</v>
      </c>
      <c r="AP89" s="19">
        <v>120</v>
      </c>
      <c r="AQ89" s="19">
        <v>38</v>
      </c>
      <c r="AR89" s="19">
        <v>321428</v>
      </c>
      <c r="AS89" s="19">
        <v>26185</v>
      </c>
      <c r="AT89" s="19">
        <v>24307</v>
      </c>
      <c r="AU89" s="19">
        <v>10083.400000000001</v>
      </c>
      <c r="AV89" s="19">
        <v>5934</v>
      </c>
      <c r="AW89" s="19">
        <v>56270</v>
      </c>
      <c r="AX89" s="19">
        <v>12472</v>
      </c>
      <c r="AY89" s="19">
        <v>23525.082993807548</v>
      </c>
      <c r="AZ89" s="19">
        <v>594</v>
      </c>
      <c r="BA89" s="19">
        <v>68</v>
      </c>
      <c r="BB89" s="19">
        <v>21</v>
      </c>
      <c r="BC89" s="19">
        <v>8</v>
      </c>
      <c r="BD89" s="19">
        <v>691</v>
      </c>
      <c r="BE89" s="19">
        <v>311</v>
      </c>
      <c r="BF89" s="19">
        <v>92</v>
      </c>
      <c r="BG89" s="19">
        <v>5</v>
      </c>
      <c r="BH89" s="19">
        <v>975</v>
      </c>
      <c r="BI89" s="19">
        <v>2842</v>
      </c>
      <c r="BJ89" s="19">
        <v>0</v>
      </c>
      <c r="BK89" s="19">
        <v>0</v>
      </c>
      <c r="BL89" s="19">
        <v>44401</v>
      </c>
      <c r="BM89" s="19">
        <v>1531</v>
      </c>
      <c r="BN89" s="19">
        <v>312</v>
      </c>
      <c r="BO89" s="19">
        <v>11664</v>
      </c>
      <c r="BP89" s="19">
        <v>0</v>
      </c>
      <c r="BQ89" s="19">
        <v>0</v>
      </c>
      <c r="BR89" s="19">
        <v>1</v>
      </c>
      <c r="BS89" s="19">
        <v>1</v>
      </c>
      <c r="BT89" s="19">
        <v>0</v>
      </c>
      <c r="BU89" s="19">
        <v>0</v>
      </c>
      <c r="BV89" s="19">
        <v>0</v>
      </c>
      <c r="BW89" s="19">
        <v>0</v>
      </c>
      <c r="BX89" s="19">
        <v>0</v>
      </c>
      <c r="BY89" s="19">
        <v>0</v>
      </c>
      <c r="BZ89" s="19">
        <v>0</v>
      </c>
      <c r="CA89" s="19">
        <v>0</v>
      </c>
      <c r="CB89" s="19">
        <v>0</v>
      </c>
      <c r="CC89" s="19">
        <v>0</v>
      </c>
      <c r="CD89" s="19">
        <v>0</v>
      </c>
      <c r="CE89" s="19">
        <v>0</v>
      </c>
      <c r="CF89" s="19">
        <v>1</v>
      </c>
      <c r="CG89" s="19">
        <v>1</v>
      </c>
      <c r="CH89" s="19">
        <v>1</v>
      </c>
      <c r="CI89" s="19">
        <v>1</v>
      </c>
      <c r="CJ89" s="19">
        <v>1</v>
      </c>
      <c r="CK89" s="19">
        <v>1</v>
      </c>
      <c r="CL89" s="19">
        <v>1</v>
      </c>
      <c r="CM89" s="19">
        <v>1</v>
      </c>
      <c r="CN89" s="19">
        <v>1</v>
      </c>
      <c r="CO89" s="19">
        <v>0</v>
      </c>
      <c r="CP89" s="19">
        <v>1</v>
      </c>
      <c r="CQ89" s="19">
        <v>1</v>
      </c>
      <c r="CR89" s="19">
        <v>1</v>
      </c>
      <c r="CS89" s="19">
        <v>1</v>
      </c>
      <c r="CT89" s="19">
        <v>1</v>
      </c>
      <c r="CU89" s="19">
        <v>1</v>
      </c>
      <c r="CV89" s="19">
        <v>1</v>
      </c>
      <c r="CW89" s="19">
        <v>1</v>
      </c>
      <c r="CX89" s="19">
        <v>0</v>
      </c>
      <c r="CY89" s="19">
        <v>0</v>
      </c>
      <c r="CZ89" s="19">
        <v>0</v>
      </c>
      <c r="DA89" s="19">
        <v>0</v>
      </c>
      <c r="DB89" s="19">
        <v>0</v>
      </c>
      <c r="DC89" s="19">
        <v>0</v>
      </c>
      <c r="DD89" s="19">
        <v>1</v>
      </c>
      <c r="DE89" s="19">
        <v>0</v>
      </c>
      <c r="DF89" s="19">
        <v>0</v>
      </c>
      <c r="DG89" s="19">
        <v>0</v>
      </c>
      <c r="DH89" s="19">
        <v>0</v>
      </c>
      <c r="DI89" s="19">
        <v>0</v>
      </c>
      <c r="DJ89" s="21">
        <v>40127</v>
      </c>
      <c r="DK89" s="19">
        <v>344867231</v>
      </c>
      <c r="DL89" s="19">
        <v>290195743</v>
      </c>
      <c r="DM89" s="19">
        <v>1000</v>
      </c>
      <c r="DN89" s="19">
        <v>7597797</v>
      </c>
      <c r="DO89" s="19">
        <v>1705411</v>
      </c>
      <c r="DP89" s="19">
        <v>21245200</v>
      </c>
      <c r="DQ89" s="19">
        <v>7517048</v>
      </c>
      <c r="DR89" s="19">
        <v>15503088</v>
      </c>
      <c r="DS89" s="19">
        <v>1101944</v>
      </c>
      <c r="DT89" s="22">
        <v>0.38</v>
      </c>
    </row>
    <row r="90" spans="1:124" x14ac:dyDescent="0.35">
      <c r="A90" s="19" t="s">
        <v>206</v>
      </c>
      <c r="B90" s="19" t="s">
        <v>214</v>
      </c>
      <c r="C90" s="19">
        <v>4229470.6290812558</v>
      </c>
      <c r="D90" s="19">
        <v>676715.30065300094</v>
      </c>
      <c r="E90" s="20">
        <v>51737492</v>
      </c>
      <c r="F90" s="19">
        <v>1723</v>
      </c>
      <c r="G90" s="19">
        <v>50924</v>
      </c>
      <c r="H90" s="19">
        <v>2603</v>
      </c>
      <c r="I90" s="19">
        <v>50561137</v>
      </c>
      <c r="J90" s="19">
        <v>176</v>
      </c>
      <c r="K90" s="19">
        <v>5312</v>
      </c>
      <c r="L90" s="19">
        <v>1540</v>
      </c>
      <c r="M90" s="19">
        <v>59352</v>
      </c>
      <c r="N90" s="19">
        <v>15669</v>
      </c>
      <c r="O90" s="19">
        <v>167</v>
      </c>
      <c r="P90" s="19">
        <v>1766</v>
      </c>
      <c r="Q90" s="19">
        <v>0</v>
      </c>
      <c r="R90" s="19">
        <v>105</v>
      </c>
      <c r="S90" s="19">
        <v>1257</v>
      </c>
      <c r="T90" s="19">
        <v>40900</v>
      </c>
      <c r="U90" s="19">
        <v>938574</v>
      </c>
      <c r="V90" s="19">
        <v>166</v>
      </c>
      <c r="W90" s="19">
        <v>1683</v>
      </c>
      <c r="X90" s="19">
        <v>273</v>
      </c>
      <c r="Y90" s="19">
        <v>5300</v>
      </c>
      <c r="Z90" s="19">
        <v>14480</v>
      </c>
      <c r="AA90" s="19">
        <v>23</v>
      </c>
      <c r="AB90" s="19">
        <v>21210</v>
      </c>
      <c r="AC90" s="19">
        <v>13152</v>
      </c>
      <c r="AD90" s="19">
        <v>592325.77</v>
      </c>
      <c r="AE90" s="19">
        <v>505611.37</v>
      </c>
      <c r="AF90" s="19">
        <v>11870.4</v>
      </c>
      <c r="AG90" s="19">
        <v>2456</v>
      </c>
      <c r="AH90" s="19">
        <v>72198</v>
      </c>
      <c r="AI90" s="19">
        <v>167</v>
      </c>
      <c r="AJ90" s="19">
        <v>23</v>
      </c>
      <c r="AK90" s="19">
        <v>538899</v>
      </c>
      <c r="AL90" s="19">
        <v>421343</v>
      </c>
      <c r="AM90" s="19">
        <v>11347</v>
      </c>
      <c r="AN90" s="19">
        <v>53326</v>
      </c>
      <c r="AO90" s="19">
        <v>52018</v>
      </c>
      <c r="AP90" s="19">
        <v>230</v>
      </c>
      <c r="AQ90" s="19">
        <v>635</v>
      </c>
      <c r="AR90" s="19">
        <v>8949</v>
      </c>
      <c r="AS90" s="19">
        <v>2456</v>
      </c>
      <c r="AT90" s="19">
        <v>4229</v>
      </c>
      <c r="AU90" s="19">
        <v>5807</v>
      </c>
      <c r="AV90" s="19">
        <v>1458</v>
      </c>
      <c r="AW90" s="19">
        <v>4413</v>
      </c>
      <c r="AX90" s="19">
        <v>7843</v>
      </c>
      <c r="AY90" s="19">
        <v>21637.145131563542</v>
      </c>
      <c r="AZ90" s="19">
        <v>555</v>
      </c>
      <c r="BA90" s="19">
        <v>21</v>
      </c>
      <c r="BB90" s="19">
        <v>3</v>
      </c>
      <c r="BC90" s="19">
        <v>1</v>
      </c>
      <c r="BD90" s="19">
        <v>580</v>
      </c>
      <c r="BE90" s="19">
        <v>280</v>
      </c>
      <c r="BF90" s="19">
        <v>36</v>
      </c>
      <c r="BG90" s="19">
        <v>1</v>
      </c>
      <c r="BH90" s="19">
        <v>1153</v>
      </c>
      <c r="BI90" s="19">
        <v>2948</v>
      </c>
      <c r="BJ90" s="19">
        <v>0</v>
      </c>
      <c r="BK90" s="19">
        <v>0</v>
      </c>
      <c r="BL90" s="19">
        <v>8865</v>
      </c>
      <c r="BM90" s="19">
        <v>160</v>
      </c>
      <c r="BN90" s="19">
        <v>21</v>
      </c>
      <c r="BO90" s="19">
        <v>1043</v>
      </c>
      <c r="BP90" s="19">
        <v>0</v>
      </c>
      <c r="BQ90" s="19">
        <v>0</v>
      </c>
      <c r="BR90" s="19">
        <v>1</v>
      </c>
      <c r="BS90" s="19">
        <v>1</v>
      </c>
      <c r="BT90" s="19">
        <v>0</v>
      </c>
      <c r="BU90" s="19">
        <v>0</v>
      </c>
      <c r="BV90" s="19">
        <v>0</v>
      </c>
      <c r="BW90" s="19">
        <v>0</v>
      </c>
      <c r="BX90" s="19">
        <v>0</v>
      </c>
      <c r="BY90" s="19">
        <v>0</v>
      </c>
      <c r="BZ90" s="19">
        <v>0</v>
      </c>
      <c r="CA90" s="19">
        <v>0</v>
      </c>
      <c r="CB90" s="19">
        <v>0</v>
      </c>
      <c r="CC90" s="19">
        <v>0</v>
      </c>
      <c r="CD90" s="19">
        <v>0</v>
      </c>
      <c r="CE90" s="19">
        <v>0</v>
      </c>
      <c r="CF90" s="19">
        <v>1</v>
      </c>
      <c r="CG90" s="19">
        <v>1</v>
      </c>
      <c r="CH90" s="19">
        <v>1</v>
      </c>
      <c r="CI90" s="19">
        <v>1</v>
      </c>
      <c r="CJ90" s="19">
        <v>1</v>
      </c>
      <c r="CK90" s="19">
        <v>1</v>
      </c>
      <c r="CL90" s="19">
        <v>1</v>
      </c>
      <c r="CM90" s="19">
        <v>1</v>
      </c>
      <c r="CN90" s="19">
        <v>1</v>
      </c>
      <c r="CO90" s="19">
        <v>0</v>
      </c>
      <c r="CP90" s="19">
        <v>1</v>
      </c>
      <c r="CQ90" s="19">
        <v>1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0</v>
      </c>
      <c r="CY90" s="19">
        <v>0</v>
      </c>
      <c r="CZ90" s="19">
        <v>0</v>
      </c>
      <c r="DA90" s="19">
        <v>0</v>
      </c>
      <c r="DB90" s="19">
        <v>0</v>
      </c>
      <c r="DC90" s="19">
        <v>0</v>
      </c>
      <c r="DD90" s="19">
        <v>1</v>
      </c>
      <c r="DE90" s="19">
        <v>0</v>
      </c>
      <c r="DF90" s="19">
        <v>0</v>
      </c>
      <c r="DG90" s="19">
        <v>0</v>
      </c>
      <c r="DH90" s="19">
        <v>0</v>
      </c>
      <c r="DI90" s="19">
        <v>0</v>
      </c>
      <c r="DJ90" s="21">
        <v>40124</v>
      </c>
      <c r="DK90" s="19">
        <v>476338936</v>
      </c>
      <c r="DL90" s="19">
        <v>427456978</v>
      </c>
      <c r="DM90" s="19">
        <v>30800</v>
      </c>
      <c r="DN90" s="19">
        <v>5396887</v>
      </c>
      <c r="DO90" s="19">
        <v>2968113</v>
      </c>
      <c r="DP90" s="19">
        <v>17366858</v>
      </c>
      <c r="DQ90" s="19">
        <v>4304135</v>
      </c>
      <c r="DR90" s="19">
        <v>17708341</v>
      </c>
      <c r="DS90" s="19">
        <v>1106824</v>
      </c>
      <c r="DT90" s="22">
        <v>0.35</v>
      </c>
    </row>
    <row r="91" spans="1:124" x14ac:dyDescent="0.35">
      <c r="A91" s="19" t="s">
        <v>206</v>
      </c>
      <c r="B91" s="19" t="s">
        <v>215</v>
      </c>
      <c r="C91" s="19">
        <v>3374493.0043197651</v>
      </c>
      <c r="D91" s="19">
        <v>539918.88069116243</v>
      </c>
      <c r="E91" s="20">
        <v>19957796</v>
      </c>
      <c r="F91" s="19">
        <v>6873</v>
      </c>
      <c r="G91" s="19">
        <v>67337</v>
      </c>
      <c r="H91" s="19">
        <v>3326</v>
      </c>
      <c r="I91" s="19">
        <v>19052800</v>
      </c>
      <c r="J91" s="19">
        <v>535</v>
      </c>
      <c r="K91" s="19">
        <v>8613</v>
      </c>
      <c r="L91" s="19">
        <v>396</v>
      </c>
      <c r="M91" s="19">
        <v>150663</v>
      </c>
      <c r="N91" s="19">
        <v>12697</v>
      </c>
      <c r="O91" s="19">
        <v>209</v>
      </c>
      <c r="P91" s="19">
        <v>5234</v>
      </c>
      <c r="Q91" s="19">
        <v>0</v>
      </c>
      <c r="R91" s="19">
        <v>218</v>
      </c>
      <c r="S91" s="19">
        <v>2394</v>
      </c>
      <c r="T91" s="19">
        <v>43440</v>
      </c>
      <c r="U91" s="19">
        <v>437058</v>
      </c>
      <c r="V91" s="19">
        <v>595</v>
      </c>
      <c r="W91" s="19">
        <v>2590</v>
      </c>
      <c r="X91" s="19">
        <v>2605</v>
      </c>
      <c r="Y91" s="19">
        <v>10673</v>
      </c>
      <c r="Z91" s="19">
        <v>21170</v>
      </c>
      <c r="AA91" s="19">
        <v>0</v>
      </c>
      <c r="AB91" s="19">
        <v>112495</v>
      </c>
      <c r="AC91" s="19">
        <v>15875</v>
      </c>
      <c r="AD91" s="19">
        <v>261530.44615384616</v>
      </c>
      <c r="AE91" s="19">
        <v>190528</v>
      </c>
      <c r="AF91" s="19">
        <v>30132.6</v>
      </c>
      <c r="AG91" s="19">
        <v>7041</v>
      </c>
      <c r="AH91" s="19">
        <v>33619.846153846156</v>
      </c>
      <c r="AI91" s="19">
        <v>209</v>
      </c>
      <c r="AJ91" s="19">
        <v>0</v>
      </c>
      <c r="AK91" s="19">
        <v>248846</v>
      </c>
      <c r="AL91" s="19">
        <v>158717</v>
      </c>
      <c r="AM91" s="19">
        <v>17087</v>
      </c>
      <c r="AN91" s="19">
        <v>42077</v>
      </c>
      <c r="AO91" s="19">
        <v>30171</v>
      </c>
      <c r="AP91" s="19">
        <v>0</v>
      </c>
      <c r="AQ91" s="19">
        <v>794</v>
      </c>
      <c r="AR91" s="19">
        <v>23366</v>
      </c>
      <c r="AS91" s="19">
        <v>7041</v>
      </c>
      <c r="AT91" s="19">
        <v>9419</v>
      </c>
      <c r="AU91" s="19">
        <v>4655</v>
      </c>
      <c r="AV91" s="19">
        <v>3017</v>
      </c>
      <c r="AW91" s="19">
        <v>9701</v>
      </c>
      <c r="AX91" s="19">
        <v>5159</v>
      </c>
      <c r="AY91" s="19">
        <v>12181</v>
      </c>
      <c r="AZ91" s="19">
        <v>584</v>
      </c>
      <c r="BA91" s="19">
        <v>58</v>
      </c>
      <c r="BB91" s="19">
        <v>5</v>
      </c>
      <c r="BC91" s="19">
        <v>3</v>
      </c>
      <c r="BD91" s="19">
        <v>650</v>
      </c>
      <c r="BE91" s="19">
        <v>231</v>
      </c>
      <c r="BF91" s="19">
        <v>29</v>
      </c>
      <c r="BG91" s="19">
        <v>0</v>
      </c>
      <c r="BH91" s="19">
        <v>699</v>
      </c>
      <c r="BI91" s="19">
        <v>1458</v>
      </c>
      <c r="BJ91" s="19">
        <v>0</v>
      </c>
      <c r="BK91" s="19">
        <v>0</v>
      </c>
      <c r="BL91" s="19">
        <v>13972</v>
      </c>
      <c r="BM91" s="19">
        <v>355</v>
      </c>
      <c r="BN91" s="19">
        <v>66</v>
      </c>
      <c r="BO91" s="19">
        <v>2208</v>
      </c>
      <c r="BP91" s="19">
        <v>0</v>
      </c>
      <c r="BQ91" s="19">
        <v>0</v>
      </c>
      <c r="BR91" s="19">
        <v>1</v>
      </c>
      <c r="BS91" s="19">
        <v>1</v>
      </c>
      <c r="BT91" s="19">
        <v>0</v>
      </c>
      <c r="BU91" s="19">
        <v>0</v>
      </c>
      <c r="BV91" s="19">
        <v>0</v>
      </c>
      <c r="BW91" s="19">
        <v>0</v>
      </c>
      <c r="BX91" s="19">
        <v>0</v>
      </c>
      <c r="BY91" s="19">
        <v>0</v>
      </c>
      <c r="BZ91" s="19">
        <v>0</v>
      </c>
      <c r="CA91" s="19">
        <v>0</v>
      </c>
      <c r="CB91" s="19">
        <v>0</v>
      </c>
      <c r="CC91" s="19">
        <v>0</v>
      </c>
      <c r="CD91" s="19">
        <v>0</v>
      </c>
      <c r="CE91" s="19">
        <v>0</v>
      </c>
      <c r="CF91" s="19">
        <v>1</v>
      </c>
      <c r="CG91" s="19">
        <v>1</v>
      </c>
      <c r="CH91" s="19">
        <v>0</v>
      </c>
      <c r="CI91" s="19">
        <v>0</v>
      </c>
      <c r="CJ91" s="19">
        <v>0</v>
      </c>
      <c r="CK91" s="19">
        <v>0</v>
      </c>
      <c r="CL91" s="19">
        <v>0</v>
      </c>
      <c r="CM91" s="19">
        <v>0</v>
      </c>
      <c r="CN91" s="19">
        <v>1</v>
      </c>
      <c r="CO91" s="19">
        <v>0</v>
      </c>
      <c r="CP91" s="19">
        <v>1</v>
      </c>
      <c r="CQ91" s="19">
        <v>1</v>
      </c>
      <c r="CR91" s="19">
        <v>1</v>
      </c>
      <c r="CS91" s="19">
        <v>1</v>
      </c>
      <c r="CT91" s="19">
        <v>1</v>
      </c>
      <c r="CU91" s="19">
        <v>1</v>
      </c>
      <c r="CV91" s="19">
        <v>1</v>
      </c>
      <c r="CW91" s="19">
        <v>1</v>
      </c>
      <c r="CX91" s="19">
        <v>1</v>
      </c>
      <c r="CY91" s="19">
        <v>0</v>
      </c>
      <c r="CZ91" s="19">
        <v>0</v>
      </c>
      <c r="DA91" s="19">
        <v>0</v>
      </c>
      <c r="DB91" s="19">
        <v>0</v>
      </c>
      <c r="DC91" s="19">
        <v>0</v>
      </c>
      <c r="DD91" s="19">
        <v>1</v>
      </c>
      <c r="DE91" s="19">
        <v>0</v>
      </c>
      <c r="DF91" s="19">
        <v>0</v>
      </c>
      <c r="DG91" s="19">
        <v>0</v>
      </c>
      <c r="DH91" s="19">
        <v>1</v>
      </c>
      <c r="DI91" s="19">
        <v>0</v>
      </c>
      <c r="DJ91" s="21">
        <v>40129</v>
      </c>
      <c r="DK91" s="19">
        <v>309433302</v>
      </c>
      <c r="DL91" s="19">
        <v>240845468</v>
      </c>
      <c r="DM91" s="19">
        <v>41800</v>
      </c>
      <c r="DN91" s="19">
        <v>21765571</v>
      </c>
      <c r="DO91" s="19">
        <v>1627580</v>
      </c>
      <c r="DP91" s="19">
        <v>21139083</v>
      </c>
      <c r="DQ91" s="19">
        <v>13157914</v>
      </c>
      <c r="DR91" s="19">
        <v>9390818</v>
      </c>
      <c r="DS91" s="19">
        <v>1465068</v>
      </c>
      <c r="DT91" s="22">
        <v>0.37</v>
      </c>
    </row>
    <row r="92" spans="1:124" x14ac:dyDescent="0.35">
      <c r="A92" s="19" t="s">
        <v>206</v>
      </c>
      <c r="B92" s="19" t="s">
        <v>216</v>
      </c>
      <c r="C92" s="19">
        <v>2230756.8300499502</v>
      </c>
      <c r="D92" s="19">
        <v>356921.09280799201</v>
      </c>
      <c r="E92" s="20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115</v>
      </c>
      <c r="AE92" s="19">
        <v>0</v>
      </c>
      <c r="AF92" s="19">
        <v>0</v>
      </c>
      <c r="AG92" s="19">
        <v>115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493</v>
      </c>
      <c r="AS92" s="19">
        <v>115</v>
      </c>
      <c r="AT92" s="19">
        <v>262</v>
      </c>
      <c r="AU92" s="19">
        <v>131</v>
      </c>
      <c r="AV92" s="19">
        <v>68</v>
      </c>
      <c r="AW92" s="19">
        <v>302</v>
      </c>
      <c r="AX92" s="19">
        <v>133</v>
      </c>
      <c r="AY92" s="19">
        <v>3950</v>
      </c>
      <c r="AZ92" s="19">
        <v>205</v>
      </c>
      <c r="BA92" s="19">
        <v>36</v>
      </c>
      <c r="BB92" s="19">
        <v>5</v>
      </c>
      <c r="BC92" s="19">
        <v>3</v>
      </c>
      <c r="BD92" s="19">
        <v>249</v>
      </c>
      <c r="BE92" s="19">
        <v>110</v>
      </c>
      <c r="BF92" s="19">
        <v>11</v>
      </c>
      <c r="BG92" s="19">
        <v>0</v>
      </c>
      <c r="BH92" s="19">
        <v>103</v>
      </c>
      <c r="BI92" s="19">
        <v>206</v>
      </c>
      <c r="BJ92" s="19">
        <v>0</v>
      </c>
      <c r="BK92" s="19">
        <v>0</v>
      </c>
      <c r="BL92" s="19">
        <v>7047</v>
      </c>
      <c r="BM92" s="19">
        <v>189</v>
      </c>
      <c r="BN92" s="19">
        <v>42</v>
      </c>
      <c r="BO92" s="19">
        <v>1367</v>
      </c>
      <c r="BP92" s="19">
        <v>0</v>
      </c>
      <c r="BQ92" s="19">
        <v>0</v>
      </c>
      <c r="BR92" s="19">
        <v>1</v>
      </c>
      <c r="BS92" s="19">
        <v>0</v>
      </c>
      <c r="BT92" s="19">
        <v>0</v>
      </c>
      <c r="BU92" s="19">
        <v>0</v>
      </c>
      <c r="BV92" s="19">
        <v>0</v>
      </c>
      <c r="BW92" s="19">
        <v>0</v>
      </c>
      <c r="BX92" s="19">
        <v>0</v>
      </c>
      <c r="BY92" s="19">
        <v>0</v>
      </c>
      <c r="BZ92" s="19">
        <v>0</v>
      </c>
      <c r="CA92" s="19">
        <v>0</v>
      </c>
      <c r="CB92" s="19">
        <v>0</v>
      </c>
      <c r="CC92" s="19">
        <v>0</v>
      </c>
      <c r="CD92" s="19">
        <v>0</v>
      </c>
      <c r="CE92" s="19">
        <v>0</v>
      </c>
      <c r="CF92" s="19">
        <v>1</v>
      </c>
      <c r="CG92" s="19">
        <v>1</v>
      </c>
      <c r="CH92" s="19">
        <v>0</v>
      </c>
      <c r="CI92" s="19">
        <v>0</v>
      </c>
      <c r="CJ92" s="19">
        <v>0</v>
      </c>
      <c r="CK92" s="19">
        <v>0</v>
      </c>
      <c r="CL92" s="19">
        <v>0</v>
      </c>
      <c r="CM92" s="19">
        <v>0</v>
      </c>
      <c r="CN92" s="19">
        <v>1</v>
      </c>
      <c r="CO92" s="19">
        <v>0</v>
      </c>
      <c r="CP92" s="19">
        <v>1</v>
      </c>
      <c r="CQ92" s="19">
        <v>1</v>
      </c>
      <c r="CR92" s="19">
        <v>1</v>
      </c>
      <c r="CS92" s="19">
        <v>1</v>
      </c>
      <c r="CT92" s="19">
        <v>1</v>
      </c>
      <c r="CU92" s="19">
        <v>1</v>
      </c>
      <c r="CV92" s="19">
        <v>1</v>
      </c>
      <c r="CW92" s="19">
        <v>1</v>
      </c>
      <c r="CX92" s="19">
        <v>0</v>
      </c>
      <c r="CY92" s="19">
        <v>0</v>
      </c>
      <c r="CZ92" s="19">
        <v>0</v>
      </c>
      <c r="DA92" s="19">
        <v>0</v>
      </c>
      <c r="DB92" s="19">
        <v>0</v>
      </c>
      <c r="DC92" s="19">
        <v>0</v>
      </c>
      <c r="DD92" s="19">
        <v>1</v>
      </c>
      <c r="DE92" s="19">
        <v>0</v>
      </c>
      <c r="DF92" s="19">
        <v>0</v>
      </c>
      <c r="DG92" s="19">
        <v>0</v>
      </c>
      <c r="DH92" s="19">
        <v>1</v>
      </c>
      <c r="DI92" s="19">
        <v>0</v>
      </c>
      <c r="DJ92" s="21">
        <v>40130</v>
      </c>
      <c r="DK92" s="19">
        <v>0</v>
      </c>
      <c r="DL92" s="19">
        <v>0</v>
      </c>
      <c r="DM92" s="19">
        <v>0</v>
      </c>
      <c r="DN92" s="19">
        <v>0</v>
      </c>
      <c r="DO92" s="19">
        <v>0</v>
      </c>
      <c r="DP92" s="19">
        <v>0</v>
      </c>
      <c r="DQ92" s="19">
        <v>0</v>
      </c>
      <c r="DR92" s="19">
        <v>0</v>
      </c>
      <c r="DS92" s="19">
        <v>0</v>
      </c>
      <c r="DT92" s="22">
        <v>0.34</v>
      </c>
    </row>
    <row r="93" spans="1:124" x14ac:dyDescent="0.35">
      <c r="A93" s="19" t="s">
        <v>206</v>
      </c>
      <c r="B93" s="19" t="s">
        <v>217</v>
      </c>
      <c r="C93" s="19">
        <v>2623100.0098021808</v>
      </c>
      <c r="D93" s="19">
        <v>419696.0015683489</v>
      </c>
      <c r="E93" s="20">
        <v>17846494</v>
      </c>
      <c r="F93" s="19">
        <v>3337</v>
      </c>
      <c r="G93" s="19">
        <v>12387</v>
      </c>
      <c r="H93" s="19">
        <v>2770</v>
      </c>
      <c r="I93" s="19">
        <v>16626208</v>
      </c>
      <c r="J93" s="19">
        <v>136</v>
      </c>
      <c r="K93" s="19">
        <v>6598</v>
      </c>
      <c r="L93" s="19">
        <v>1930</v>
      </c>
      <c r="M93" s="19">
        <v>131816</v>
      </c>
      <c r="N93" s="19">
        <v>9552</v>
      </c>
      <c r="O93" s="19">
        <v>25</v>
      </c>
      <c r="P93" s="19">
        <v>3430</v>
      </c>
      <c r="Q93" s="19">
        <v>0</v>
      </c>
      <c r="R93" s="19">
        <v>88</v>
      </c>
      <c r="S93" s="19">
        <v>370</v>
      </c>
      <c r="T93" s="19">
        <v>42740</v>
      </c>
      <c r="U93" s="19">
        <v>907380</v>
      </c>
      <c r="V93" s="19">
        <v>131</v>
      </c>
      <c r="W93" s="19">
        <v>3407</v>
      </c>
      <c r="X93" s="19">
        <v>1631</v>
      </c>
      <c r="Y93" s="19">
        <v>5269</v>
      </c>
      <c r="Z93" s="19">
        <v>11640</v>
      </c>
      <c r="AA93" s="19">
        <v>23</v>
      </c>
      <c r="AB93" s="19">
        <v>61495</v>
      </c>
      <c r="AC93" s="19">
        <v>14131</v>
      </c>
      <c r="AD93" s="19">
        <v>304032.74153846153</v>
      </c>
      <c r="AE93" s="19">
        <v>166262.07999999999</v>
      </c>
      <c r="AF93" s="19">
        <v>26363.200000000001</v>
      </c>
      <c r="AG93" s="19">
        <v>41561</v>
      </c>
      <c r="AH93" s="19">
        <v>69798.461538461532</v>
      </c>
      <c r="AI93" s="19">
        <v>25</v>
      </c>
      <c r="AJ93" s="19">
        <v>23</v>
      </c>
      <c r="AK93" s="19">
        <v>242603</v>
      </c>
      <c r="AL93" s="19">
        <v>138551</v>
      </c>
      <c r="AM93" s="19">
        <v>23320</v>
      </c>
      <c r="AN93" s="19">
        <v>27720</v>
      </c>
      <c r="AO93" s="19">
        <v>52687</v>
      </c>
      <c r="AP93" s="19">
        <v>230</v>
      </c>
      <c r="AQ93" s="19">
        <v>95</v>
      </c>
      <c r="AR93" s="19">
        <v>728280</v>
      </c>
      <c r="AS93" s="19">
        <v>41561</v>
      </c>
      <c r="AT93" s="19">
        <v>42058</v>
      </c>
      <c r="AU93" s="19">
        <v>12834.000000000002</v>
      </c>
      <c r="AV93" s="19">
        <v>8120</v>
      </c>
      <c r="AW93" s="19">
        <v>97849</v>
      </c>
      <c r="AX93" s="19">
        <v>16236</v>
      </c>
      <c r="AY93" s="19">
        <v>13309</v>
      </c>
      <c r="AZ93" s="19">
        <v>524</v>
      </c>
      <c r="BA93" s="19">
        <v>56</v>
      </c>
      <c r="BB93" s="19">
        <v>4</v>
      </c>
      <c r="BC93" s="19">
        <v>7</v>
      </c>
      <c r="BD93" s="19">
        <v>591</v>
      </c>
      <c r="BE93" s="19">
        <v>189</v>
      </c>
      <c r="BF93" s="19">
        <v>13</v>
      </c>
      <c r="BG93" s="19">
        <v>0</v>
      </c>
      <c r="BH93" s="19">
        <v>603</v>
      </c>
      <c r="BI93" s="19">
        <v>887</v>
      </c>
      <c r="BJ93" s="19">
        <v>0</v>
      </c>
      <c r="BK93" s="19">
        <v>0</v>
      </c>
      <c r="BL93" s="19">
        <v>16711</v>
      </c>
      <c r="BM93" s="19">
        <v>539</v>
      </c>
      <c r="BN93" s="19">
        <v>104</v>
      </c>
      <c r="BO93" s="19">
        <v>2992</v>
      </c>
      <c r="BP93" s="19">
        <v>0</v>
      </c>
      <c r="BQ93" s="19">
        <v>0</v>
      </c>
      <c r="BR93" s="19">
        <v>1</v>
      </c>
      <c r="BS93" s="19">
        <v>1</v>
      </c>
      <c r="BT93" s="19">
        <v>0</v>
      </c>
      <c r="BU93" s="19">
        <v>0</v>
      </c>
      <c r="BV93" s="19">
        <v>0</v>
      </c>
      <c r="BW93" s="19">
        <v>0</v>
      </c>
      <c r="BX93" s="19">
        <v>0</v>
      </c>
      <c r="BY93" s="19">
        <v>0</v>
      </c>
      <c r="BZ93" s="19">
        <v>0</v>
      </c>
      <c r="CA93" s="19">
        <v>0</v>
      </c>
      <c r="CB93" s="19">
        <v>0</v>
      </c>
      <c r="CC93" s="19">
        <v>0</v>
      </c>
      <c r="CD93" s="19">
        <v>0</v>
      </c>
      <c r="CE93" s="19">
        <v>0</v>
      </c>
      <c r="CF93" s="19">
        <v>1</v>
      </c>
      <c r="CG93" s="19">
        <v>1</v>
      </c>
      <c r="CH93" s="19">
        <v>1</v>
      </c>
      <c r="CI93" s="19">
        <v>1</v>
      </c>
      <c r="CJ93" s="19">
        <v>1</v>
      </c>
      <c r="CK93" s="19">
        <v>1</v>
      </c>
      <c r="CL93" s="19">
        <v>1</v>
      </c>
      <c r="CM93" s="19">
        <v>1</v>
      </c>
      <c r="CN93" s="19">
        <v>1</v>
      </c>
      <c r="CO93" s="19">
        <v>0</v>
      </c>
      <c r="CP93" s="19">
        <v>1</v>
      </c>
      <c r="CQ93" s="19">
        <v>1</v>
      </c>
      <c r="CR93" s="19">
        <v>1</v>
      </c>
      <c r="CS93" s="19">
        <v>1</v>
      </c>
      <c r="CT93" s="19">
        <v>1</v>
      </c>
      <c r="CU93" s="19">
        <v>1</v>
      </c>
      <c r="CV93" s="19">
        <v>1</v>
      </c>
      <c r="CW93" s="19">
        <v>1</v>
      </c>
      <c r="CX93" s="19">
        <v>0</v>
      </c>
      <c r="CY93" s="19">
        <v>0</v>
      </c>
      <c r="CZ93" s="19">
        <v>0</v>
      </c>
      <c r="DA93" s="19">
        <v>0</v>
      </c>
      <c r="DB93" s="19">
        <v>0</v>
      </c>
      <c r="DC93" s="19">
        <v>0</v>
      </c>
      <c r="DD93" s="19">
        <v>1</v>
      </c>
      <c r="DE93" s="19">
        <v>0</v>
      </c>
      <c r="DF93" s="19">
        <v>0</v>
      </c>
      <c r="DG93" s="19">
        <v>0</v>
      </c>
      <c r="DH93" s="19">
        <v>1</v>
      </c>
      <c r="DI93" s="19">
        <v>0</v>
      </c>
      <c r="DJ93" s="21">
        <v>40128</v>
      </c>
      <c r="DK93" s="19">
        <v>230120495</v>
      </c>
      <c r="DL93" s="19">
        <v>173826327</v>
      </c>
      <c r="DM93" s="19">
        <v>5000</v>
      </c>
      <c r="DN93" s="19">
        <v>9751764</v>
      </c>
      <c r="DO93" s="19">
        <v>1261312</v>
      </c>
      <c r="DP93" s="19">
        <v>21084525</v>
      </c>
      <c r="DQ93" s="19">
        <v>8242779</v>
      </c>
      <c r="DR93" s="19">
        <v>15676301</v>
      </c>
      <c r="DS93" s="19">
        <v>272487</v>
      </c>
      <c r="DT93" s="22">
        <v>0.3</v>
      </c>
    </row>
    <row r="94" spans="1:124" x14ac:dyDescent="0.35">
      <c r="A94" s="19" t="s">
        <v>206</v>
      </c>
      <c r="B94" s="19" t="s">
        <v>218</v>
      </c>
      <c r="C94" s="19">
        <v>2512574.3638135451</v>
      </c>
      <c r="D94" s="19">
        <v>402011.89821016719</v>
      </c>
      <c r="E94" s="20">
        <v>41157126</v>
      </c>
      <c r="F94" s="19">
        <v>3351</v>
      </c>
      <c r="G94" s="19">
        <v>176311</v>
      </c>
      <c r="H94" s="19">
        <v>2250</v>
      </c>
      <c r="I94" s="19">
        <v>38305384</v>
      </c>
      <c r="J94" s="19">
        <v>385</v>
      </c>
      <c r="K94" s="19">
        <v>10324</v>
      </c>
      <c r="L94" s="19">
        <v>2186</v>
      </c>
      <c r="M94" s="19">
        <v>108303</v>
      </c>
      <c r="N94" s="19">
        <v>35809</v>
      </c>
      <c r="O94" s="19">
        <v>169</v>
      </c>
      <c r="P94" s="19">
        <v>2680</v>
      </c>
      <c r="Q94" s="19">
        <v>0</v>
      </c>
      <c r="R94" s="19">
        <v>151</v>
      </c>
      <c r="S94" s="19">
        <v>968</v>
      </c>
      <c r="T94" s="19">
        <v>38580</v>
      </c>
      <c r="U94" s="19">
        <v>2334299</v>
      </c>
      <c r="V94" s="19">
        <v>420</v>
      </c>
      <c r="W94" s="19">
        <v>3115</v>
      </c>
      <c r="X94" s="19">
        <v>2336</v>
      </c>
      <c r="Y94" s="19">
        <v>19085</v>
      </c>
      <c r="Z94" s="19">
        <v>35253</v>
      </c>
      <c r="AA94" s="19">
        <v>190</v>
      </c>
      <c r="AB94" s="19">
        <v>62840</v>
      </c>
      <c r="AC94" s="19">
        <v>12737</v>
      </c>
      <c r="AD94" s="19">
        <v>605780.90153846156</v>
      </c>
      <c r="AE94" s="19">
        <v>383053.84</v>
      </c>
      <c r="AF94" s="19">
        <v>21660.6</v>
      </c>
      <c r="AG94" s="19">
        <v>21146</v>
      </c>
      <c r="AH94" s="19">
        <v>179561.46153846153</v>
      </c>
      <c r="AI94" s="19">
        <v>169</v>
      </c>
      <c r="AJ94" s="19">
        <v>190</v>
      </c>
      <c r="AK94" s="19">
        <v>572219</v>
      </c>
      <c r="AL94" s="19">
        <v>316405</v>
      </c>
      <c r="AM94" s="19">
        <v>20686</v>
      </c>
      <c r="AN94" s="19">
        <v>81741</v>
      </c>
      <c r="AO94" s="19">
        <v>150845</v>
      </c>
      <c r="AP94" s="19">
        <v>1900</v>
      </c>
      <c r="AQ94" s="19">
        <v>642</v>
      </c>
      <c r="AR94" s="19">
        <v>229067</v>
      </c>
      <c r="AS94" s="19">
        <v>21146</v>
      </c>
      <c r="AT94" s="19">
        <v>20070</v>
      </c>
      <c r="AU94" s="19">
        <v>7120.7999999999956</v>
      </c>
      <c r="AV94" s="19">
        <v>3105</v>
      </c>
      <c r="AW94" s="19">
        <v>24534</v>
      </c>
      <c r="AX94" s="19">
        <v>8357</v>
      </c>
      <c r="AY94" s="19">
        <v>14338.833721571516</v>
      </c>
      <c r="AZ94" s="19">
        <v>629</v>
      </c>
      <c r="BA94" s="19">
        <v>59</v>
      </c>
      <c r="BB94" s="19">
        <v>3</v>
      </c>
      <c r="BC94" s="19">
        <v>3</v>
      </c>
      <c r="BD94" s="19">
        <v>694</v>
      </c>
      <c r="BE94" s="19">
        <v>233</v>
      </c>
      <c r="BF94" s="19">
        <v>62</v>
      </c>
      <c r="BG94" s="19">
        <v>4</v>
      </c>
      <c r="BH94" s="19">
        <v>1027</v>
      </c>
      <c r="BI94" s="19">
        <v>1488</v>
      </c>
      <c r="BJ94" s="19">
        <v>0</v>
      </c>
      <c r="BK94" s="19">
        <v>0</v>
      </c>
      <c r="BL94" s="19">
        <v>13432</v>
      </c>
      <c r="BM94" s="19">
        <v>274</v>
      </c>
      <c r="BN94" s="19">
        <v>93</v>
      </c>
      <c r="BO94" s="19">
        <v>1750</v>
      </c>
      <c r="BP94" s="19">
        <v>0</v>
      </c>
      <c r="BQ94" s="19">
        <v>0</v>
      </c>
      <c r="BR94" s="19">
        <v>1</v>
      </c>
      <c r="BS94" s="19">
        <v>1</v>
      </c>
      <c r="BT94" s="19">
        <v>0</v>
      </c>
      <c r="BU94" s="19">
        <v>0</v>
      </c>
      <c r="BV94" s="19">
        <v>0</v>
      </c>
      <c r="BW94" s="19">
        <v>0</v>
      </c>
      <c r="BX94" s="19">
        <v>0</v>
      </c>
      <c r="BY94" s="19">
        <v>0</v>
      </c>
      <c r="BZ94" s="19">
        <v>0</v>
      </c>
      <c r="CA94" s="19">
        <v>0</v>
      </c>
      <c r="CB94" s="19">
        <v>0</v>
      </c>
      <c r="CC94" s="19">
        <v>0</v>
      </c>
      <c r="CD94" s="19">
        <v>0</v>
      </c>
      <c r="CE94" s="19">
        <v>0</v>
      </c>
      <c r="CF94" s="19">
        <v>1</v>
      </c>
      <c r="CG94" s="19">
        <v>1</v>
      </c>
      <c r="CH94" s="19">
        <v>1</v>
      </c>
      <c r="CI94" s="19">
        <v>1</v>
      </c>
      <c r="CJ94" s="19">
        <v>1</v>
      </c>
      <c r="CK94" s="19">
        <v>1</v>
      </c>
      <c r="CL94" s="19">
        <v>1</v>
      </c>
      <c r="CM94" s="19">
        <v>1</v>
      </c>
      <c r="CN94" s="19">
        <v>1</v>
      </c>
      <c r="CO94" s="19">
        <v>0</v>
      </c>
      <c r="CP94" s="19">
        <v>1</v>
      </c>
      <c r="CQ94" s="19">
        <v>1</v>
      </c>
      <c r="CR94" s="19">
        <v>1</v>
      </c>
      <c r="CS94" s="19">
        <v>1</v>
      </c>
      <c r="CT94" s="19">
        <v>1</v>
      </c>
      <c r="CU94" s="19">
        <v>1</v>
      </c>
      <c r="CV94" s="19">
        <v>1</v>
      </c>
      <c r="CW94" s="19">
        <v>1</v>
      </c>
      <c r="CX94" s="19">
        <v>0</v>
      </c>
      <c r="CY94" s="19">
        <v>0</v>
      </c>
      <c r="CZ94" s="19">
        <v>0</v>
      </c>
      <c r="DA94" s="19">
        <v>0</v>
      </c>
      <c r="DB94" s="19">
        <v>0</v>
      </c>
      <c r="DC94" s="19">
        <v>0</v>
      </c>
      <c r="DD94" s="19">
        <v>1</v>
      </c>
      <c r="DE94" s="19">
        <v>0</v>
      </c>
      <c r="DF94" s="19">
        <v>0</v>
      </c>
      <c r="DG94" s="19">
        <v>0</v>
      </c>
      <c r="DH94" s="19">
        <v>0</v>
      </c>
      <c r="DI94" s="19">
        <v>0</v>
      </c>
      <c r="DJ94" s="21">
        <v>40126</v>
      </c>
      <c r="DK94" s="19">
        <v>601415770</v>
      </c>
      <c r="DL94" s="19">
        <v>486190193</v>
      </c>
      <c r="DM94" s="19">
        <v>28200</v>
      </c>
      <c r="DN94" s="19">
        <v>10615885</v>
      </c>
      <c r="DO94" s="19">
        <v>4648996</v>
      </c>
      <c r="DP94" s="19">
        <v>38271260</v>
      </c>
      <c r="DQ94" s="19">
        <v>5785783</v>
      </c>
      <c r="DR94" s="19">
        <v>52603252</v>
      </c>
      <c r="DS94" s="19">
        <v>3272201</v>
      </c>
      <c r="DT94" s="22">
        <v>0.34</v>
      </c>
    </row>
    <row r="95" spans="1:124" x14ac:dyDescent="0.35">
      <c r="A95" s="19" t="s">
        <v>206</v>
      </c>
      <c r="B95" s="19" t="s">
        <v>219</v>
      </c>
      <c r="C95" s="19">
        <v>2889623.7983395476</v>
      </c>
      <c r="D95" s="19">
        <v>462339.80773432762</v>
      </c>
      <c r="E95" s="20">
        <v>13498808</v>
      </c>
      <c r="F95" s="19">
        <v>1765</v>
      </c>
      <c r="G95" s="19">
        <v>27944</v>
      </c>
      <c r="H95" s="19">
        <v>1942</v>
      </c>
      <c r="I95" s="19">
        <v>13019325</v>
      </c>
      <c r="J95" s="19">
        <v>29</v>
      </c>
      <c r="K95" s="19">
        <v>4937</v>
      </c>
      <c r="L95" s="19">
        <v>845</v>
      </c>
      <c r="M95" s="19">
        <v>37234</v>
      </c>
      <c r="N95" s="19">
        <v>4454</v>
      </c>
      <c r="O95" s="19">
        <v>20</v>
      </c>
      <c r="P95" s="19">
        <v>1901</v>
      </c>
      <c r="Q95" s="19">
        <v>0</v>
      </c>
      <c r="R95" s="19">
        <v>81</v>
      </c>
      <c r="S95" s="19">
        <v>201</v>
      </c>
      <c r="T95" s="19">
        <v>41260</v>
      </c>
      <c r="U95" s="19">
        <v>301213</v>
      </c>
      <c r="V95" s="19">
        <v>40</v>
      </c>
      <c r="W95" s="19">
        <v>2717</v>
      </c>
      <c r="X95" s="19">
        <v>1148</v>
      </c>
      <c r="Y95" s="19">
        <v>5705</v>
      </c>
      <c r="Z95" s="19">
        <v>11834</v>
      </c>
      <c r="AA95" s="19">
        <v>7</v>
      </c>
      <c r="AB95" s="19">
        <v>20815</v>
      </c>
      <c r="AC95" s="19">
        <v>13391</v>
      </c>
      <c r="AD95" s="19">
        <v>173244.28076923077</v>
      </c>
      <c r="AE95" s="19">
        <v>130193.25</v>
      </c>
      <c r="AF95" s="19">
        <v>7446.8</v>
      </c>
      <c r="AG95" s="19">
        <v>12407</v>
      </c>
      <c r="AH95" s="19">
        <v>23170.23076923077</v>
      </c>
      <c r="AI95" s="19">
        <v>20</v>
      </c>
      <c r="AJ95" s="19">
        <v>7</v>
      </c>
      <c r="AK95" s="19">
        <v>151825</v>
      </c>
      <c r="AL95" s="19">
        <v>108494</v>
      </c>
      <c r="AM95" s="19">
        <v>7718</v>
      </c>
      <c r="AN95" s="19">
        <v>15425</v>
      </c>
      <c r="AO95" s="19">
        <v>20042</v>
      </c>
      <c r="AP95" s="19">
        <v>70</v>
      </c>
      <c r="AQ95" s="19">
        <v>76</v>
      </c>
      <c r="AR95" s="19">
        <v>128729</v>
      </c>
      <c r="AS95" s="19">
        <v>12407</v>
      </c>
      <c r="AT95" s="19">
        <v>11916</v>
      </c>
      <c r="AU95" s="19">
        <v>4905.4999999999991</v>
      </c>
      <c r="AV95" s="19">
        <v>2740</v>
      </c>
      <c r="AW95" s="19">
        <v>19254</v>
      </c>
      <c r="AX95" s="19">
        <v>5948</v>
      </c>
      <c r="AY95" s="19">
        <v>17840.279598914865</v>
      </c>
      <c r="AZ95" s="19">
        <v>300</v>
      </c>
      <c r="BA95" s="19">
        <v>64</v>
      </c>
      <c r="BB95" s="19">
        <v>5</v>
      </c>
      <c r="BC95" s="19">
        <v>3</v>
      </c>
      <c r="BD95" s="19">
        <v>372</v>
      </c>
      <c r="BE95" s="19">
        <v>207</v>
      </c>
      <c r="BF95" s="19">
        <v>101</v>
      </c>
      <c r="BG95" s="19">
        <v>4</v>
      </c>
      <c r="BH95" s="19">
        <v>557</v>
      </c>
      <c r="BI95" s="19">
        <v>1162</v>
      </c>
      <c r="BJ95" s="19">
        <v>0</v>
      </c>
      <c r="BK95" s="19">
        <v>0</v>
      </c>
      <c r="BL95" s="19">
        <v>32984</v>
      </c>
      <c r="BM95" s="19">
        <v>1140</v>
      </c>
      <c r="BN95" s="19">
        <v>161</v>
      </c>
      <c r="BO95" s="19">
        <v>6879</v>
      </c>
      <c r="BP95" s="19">
        <v>0</v>
      </c>
      <c r="BQ95" s="19">
        <v>0</v>
      </c>
      <c r="BR95" s="19">
        <v>1</v>
      </c>
      <c r="BS95" s="19">
        <v>1</v>
      </c>
      <c r="BT95" s="19">
        <v>0</v>
      </c>
      <c r="BU95" s="19">
        <v>0</v>
      </c>
      <c r="BV95" s="19">
        <v>0</v>
      </c>
      <c r="BW95" s="19">
        <v>0</v>
      </c>
      <c r="BX95" s="19">
        <v>0</v>
      </c>
      <c r="BY95" s="19">
        <v>0</v>
      </c>
      <c r="BZ95" s="19">
        <v>0</v>
      </c>
      <c r="CA95" s="19">
        <v>0</v>
      </c>
      <c r="CB95" s="19">
        <v>0</v>
      </c>
      <c r="CC95" s="19">
        <v>0</v>
      </c>
      <c r="CD95" s="19">
        <v>0</v>
      </c>
      <c r="CE95" s="19">
        <v>0</v>
      </c>
      <c r="CF95" s="19">
        <v>1</v>
      </c>
      <c r="CG95" s="19">
        <v>1</v>
      </c>
      <c r="CH95" s="19">
        <v>1</v>
      </c>
      <c r="CI95" s="19">
        <v>1</v>
      </c>
      <c r="CJ95" s="19">
        <v>1</v>
      </c>
      <c r="CK95" s="19">
        <v>1</v>
      </c>
      <c r="CL95" s="19">
        <v>1</v>
      </c>
      <c r="CM95" s="19">
        <v>1</v>
      </c>
      <c r="CN95" s="19">
        <v>1</v>
      </c>
      <c r="CO95" s="19">
        <v>0</v>
      </c>
      <c r="CP95" s="19">
        <v>1</v>
      </c>
      <c r="CQ95" s="19">
        <v>1</v>
      </c>
      <c r="CR95" s="19">
        <v>1</v>
      </c>
      <c r="CS95" s="19">
        <v>1</v>
      </c>
      <c r="CT95" s="19">
        <v>1</v>
      </c>
      <c r="CU95" s="19">
        <v>1</v>
      </c>
      <c r="CV95" s="19">
        <v>1</v>
      </c>
      <c r="CW95" s="19">
        <v>1</v>
      </c>
      <c r="CX95" s="19">
        <v>0</v>
      </c>
      <c r="CY95" s="19">
        <v>0</v>
      </c>
      <c r="CZ95" s="19">
        <v>0</v>
      </c>
      <c r="DA95" s="19">
        <v>0</v>
      </c>
      <c r="DB95" s="19">
        <v>0</v>
      </c>
      <c r="DC95" s="19">
        <v>0</v>
      </c>
      <c r="DD95" s="19">
        <v>1</v>
      </c>
      <c r="DE95" s="19">
        <v>0</v>
      </c>
      <c r="DF95" s="19">
        <v>0</v>
      </c>
      <c r="DG95" s="19">
        <v>0</v>
      </c>
      <c r="DH95" s="19">
        <v>1</v>
      </c>
      <c r="DI95" s="19">
        <v>0</v>
      </c>
      <c r="DJ95" s="21">
        <v>40125</v>
      </c>
      <c r="DK95" s="19">
        <v>177826831</v>
      </c>
      <c r="DL95" s="19">
        <v>148046656</v>
      </c>
      <c r="DM95" s="19">
        <v>1200</v>
      </c>
      <c r="DN95" s="19">
        <v>3776298</v>
      </c>
      <c r="DO95" s="19">
        <v>417293</v>
      </c>
      <c r="DP95" s="19">
        <v>14552767</v>
      </c>
      <c r="DQ95" s="19">
        <v>4131225</v>
      </c>
      <c r="DR95" s="19">
        <v>6293218</v>
      </c>
      <c r="DS95" s="19">
        <v>608174</v>
      </c>
      <c r="DT95" s="22">
        <v>0.31</v>
      </c>
    </row>
    <row r="96" spans="1:124" x14ac:dyDescent="0.35">
      <c r="A96" s="19" t="s">
        <v>206</v>
      </c>
      <c r="B96" s="19" t="s">
        <v>220</v>
      </c>
      <c r="C96" s="19">
        <v>1330782.3128215009</v>
      </c>
      <c r="D96" s="19">
        <v>212925.17005144016</v>
      </c>
      <c r="E96" s="20">
        <v>1011345</v>
      </c>
      <c r="F96" s="19">
        <v>0</v>
      </c>
      <c r="G96" s="19">
        <v>282</v>
      </c>
      <c r="H96" s="19">
        <v>386</v>
      </c>
      <c r="I96" s="19">
        <v>854037</v>
      </c>
      <c r="J96" s="19">
        <v>0</v>
      </c>
      <c r="K96" s="19">
        <v>1031</v>
      </c>
      <c r="L96" s="19">
        <v>212</v>
      </c>
      <c r="M96" s="19">
        <v>40221</v>
      </c>
      <c r="N96" s="19">
        <v>760</v>
      </c>
      <c r="O96" s="19">
        <v>0</v>
      </c>
      <c r="P96" s="19">
        <v>0</v>
      </c>
      <c r="Q96" s="19">
        <v>0</v>
      </c>
      <c r="R96" s="19">
        <v>28</v>
      </c>
      <c r="S96" s="19">
        <v>5</v>
      </c>
      <c r="T96" s="19">
        <v>360</v>
      </c>
      <c r="U96" s="19">
        <v>111594</v>
      </c>
      <c r="V96" s="19">
        <v>0</v>
      </c>
      <c r="W96" s="19">
        <v>420</v>
      </c>
      <c r="X96" s="19">
        <v>94</v>
      </c>
      <c r="Y96" s="19">
        <v>894</v>
      </c>
      <c r="Z96" s="19">
        <v>806</v>
      </c>
      <c r="AA96" s="19">
        <v>5</v>
      </c>
      <c r="AB96" s="19">
        <v>210</v>
      </c>
      <c r="AC96" s="19">
        <v>0</v>
      </c>
      <c r="AD96" s="19">
        <v>27439.723846153844</v>
      </c>
      <c r="AE96" s="19">
        <v>8540.3700000000008</v>
      </c>
      <c r="AF96" s="19">
        <v>8044.2</v>
      </c>
      <c r="AG96" s="19">
        <v>2266</v>
      </c>
      <c r="AH96" s="19">
        <v>8584.1538461538457</v>
      </c>
      <c r="AI96" s="19">
        <v>0</v>
      </c>
      <c r="AJ96" s="19">
        <v>5</v>
      </c>
      <c r="AK96" s="19">
        <v>26241</v>
      </c>
      <c r="AL96" s="19">
        <v>7117</v>
      </c>
      <c r="AM96" s="19">
        <v>9672</v>
      </c>
      <c r="AN96" s="19">
        <v>2652</v>
      </c>
      <c r="AO96" s="19">
        <v>6750</v>
      </c>
      <c r="AP96" s="19">
        <v>50</v>
      </c>
      <c r="AQ96" s="19">
        <v>0</v>
      </c>
      <c r="AR96" s="19">
        <v>15896</v>
      </c>
      <c r="AS96" s="19">
        <v>2266</v>
      </c>
      <c r="AT96" s="19">
        <v>395</v>
      </c>
      <c r="AU96" s="19">
        <v>348</v>
      </c>
      <c r="AV96" s="19">
        <v>228</v>
      </c>
      <c r="AW96" s="19">
        <v>10767</v>
      </c>
      <c r="AX96" s="19">
        <v>374</v>
      </c>
      <c r="AY96" s="19">
        <v>0</v>
      </c>
      <c r="AZ96" s="19">
        <v>22</v>
      </c>
      <c r="BA96" s="19">
        <v>36</v>
      </c>
      <c r="BB96" s="19">
        <v>7</v>
      </c>
      <c r="BC96" s="19">
        <v>15</v>
      </c>
      <c r="BD96" s="19">
        <v>80</v>
      </c>
      <c r="BE96" s="19">
        <v>0</v>
      </c>
      <c r="BF96" s="19">
        <v>10</v>
      </c>
      <c r="BG96" s="19">
        <v>4</v>
      </c>
      <c r="BH96" s="19">
        <v>226</v>
      </c>
      <c r="BI96" s="19">
        <v>61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1</v>
      </c>
      <c r="BS96" s="19">
        <v>0</v>
      </c>
      <c r="BT96" s="19">
        <v>0</v>
      </c>
      <c r="BU96" s="19">
        <v>0</v>
      </c>
      <c r="BV96" s="19">
        <v>0</v>
      </c>
      <c r="BW96" s="19">
        <v>0</v>
      </c>
      <c r="BX96" s="19">
        <v>0</v>
      </c>
      <c r="BY96" s="19">
        <v>0</v>
      </c>
      <c r="BZ96" s="19">
        <v>1</v>
      </c>
      <c r="CA96" s="19">
        <v>1</v>
      </c>
      <c r="CB96" s="19">
        <v>0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19">
        <v>0</v>
      </c>
      <c r="CL96" s="19">
        <v>0</v>
      </c>
      <c r="CM96" s="19">
        <v>0</v>
      </c>
      <c r="CN96" s="19">
        <v>0</v>
      </c>
      <c r="CO96" s="19">
        <v>0</v>
      </c>
      <c r="CP96" s="19">
        <v>0</v>
      </c>
      <c r="CQ96" s="19">
        <v>0</v>
      </c>
      <c r="CR96" s="19">
        <v>0</v>
      </c>
      <c r="CS96" s="19">
        <v>0</v>
      </c>
      <c r="CT96" s="19">
        <v>0</v>
      </c>
      <c r="CU96" s="19">
        <v>0</v>
      </c>
      <c r="CV96" s="19">
        <v>0</v>
      </c>
      <c r="CW96" s="19">
        <v>0</v>
      </c>
      <c r="CX96" s="19">
        <v>0</v>
      </c>
      <c r="CY96" s="19">
        <v>0</v>
      </c>
      <c r="CZ96" s="19">
        <v>0</v>
      </c>
      <c r="DA96" s="19">
        <v>0</v>
      </c>
      <c r="DB96" s="19">
        <v>0</v>
      </c>
      <c r="DC96" s="19">
        <v>0</v>
      </c>
      <c r="DD96" s="19">
        <v>0</v>
      </c>
      <c r="DE96" s="19">
        <v>1</v>
      </c>
      <c r="DF96" s="19">
        <v>0</v>
      </c>
      <c r="DG96" s="19">
        <v>0</v>
      </c>
      <c r="DH96" s="19">
        <v>0</v>
      </c>
      <c r="DI96" s="19">
        <v>0</v>
      </c>
      <c r="DJ96" s="21">
        <v>40202</v>
      </c>
      <c r="DK96" s="19">
        <v>16650054</v>
      </c>
      <c r="DL96" s="19">
        <v>6310204</v>
      </c>
      <c r="DM96" s="19">
        <v>0</v>
      </c>
      <c r="DN96" s="19">
        <v>5195399</v>
      </c>
      <c r="DO96" s="19">
        <v>98100</v>
      </c>
      <c r="DP96" s="19">
        <v>2716798</v>
      </c>
      <c r="DQ96" s="19">
        <v>765</v>
      </c>
      <c r="DR96" s="19">
        <v>2322869</v>
      </c>
      <c r="DS96" s="19">
        <v>5919</v>
      </c>
      <c r="DT96" s="22">
        <v>0.19</v>
      </c>
    </row>
    <row r="97" spans="1:124" x14ac:dyDescent="0.35">
      <c r="A97" s="19" t="s">
        <v>206</v>
      </c>
      <c r="B97" s="19" t="s">
        <v>221</v>
      </c>
      <c r="C97" s="19">
        <v>2801356.6396031608</v>
      </c>
      <c r="D97" s="19">
        <v>448217.06233650574</v>
      </c>
      <c r="E97" s="20">
        <v>2885885</v>
      </c>
      <c r="F97" s="19">
        <v>131</v>
      </c>
      <c r="G97" s="19">
        <v>4497</v>
      </c>
      <c r="H97" s="19">
        <v>436</v>
      </c>
      <c r="I97" s="19">
        <v>2284040</v>
      </c>
      <c r="J97" s="19">
        <v>40</v>
      </c>
      <c r="K97" s="19">
        <v>3718</v>
      </c>
      <c r="L97" s="19">
        <v>1293</v>
      </c>
      <c r="M97" s="19">
        <v>66259</v>
      </c>
      <c r="N97" s="19">
        <v>1667</v>
      </c>
      <c r="O97" s="19">
        <v>0</v>
      </c>
      <c r="P97" s="19">
        <v>142</v>
      </c>
      <c r="Q97" s="19">
        <v>0</v>
      </c>
      <c r="R97" s="19">
        <v>55</v>
      </c>
      <c r="S97" s="19">
        <v>211</v>
      </c>
      <c r="T97" s="19">
        <v>640</v>
      </c>
      <c r="U97" s="19">
        <v>510418</v>
      </c>
      <c r="V97" s="19">
        <v>5</v>
      </c>
      <c r="W97" s="19">
        <v>1229</v>
      </c>
      <c r="X97" s="19">
        <v>94</v>
      </c>
      <c r="Y97" s="19">
        <v>6538</v>
      </c>
      <c r="Z97" s="19">
        <v>3967</v>
      </c>
      <c r="AA97" s="19">
        <v>45</v>
      </c>
      <c r="AB97" s="19">
        <v>460</v>
      </c>
      <c r="AC97" s="19">
        <v>0</v>
      </c>
      <c r="AD97" s="19">
        <v>88694.123076923075</v>
      </c>
      <c r="AE97" s="19">
        <v>22840.400000000001</v>
      </c>
      <c r="AF97" s="19">
        <v>13251.8</v>
      </c>
      <c r="AG97" s="19">
        <v>13294</v>
      </c>
      <c r="AH97" s="19">
        <v>39262.923076923078</v>
      </c>
      <c r="AI97" s="19">
        <v>0</v>
      </c>
      <c r="AJ97" s="19">
        <v>45</v>
      </c>
      <c r="AK97" s="19">
        <v>70978</v>
      </c>
      <c r="AL97" s="19">
        <v>19034</v>
      </c>
      <c r="AM97" s="19">
        <v>13013</v>
      </c>
      <c r="AN97" s="19">
        <v>5829</v>
      </c>
      <c r="AO97" s="19">
        <v>32652</v>
      </c>
      <c r="AP97" s="19">
        <v>450</v>
      </c>
      <c r="AQ97" s="19">
        <v>0</v>
      </c>
      <c r="AR97" s="19">
        <v>115422</v>
      </c>
      <c r="AS97" s="19">
        <v>13294</v>
      </c>
      <c r="AT97" s="19">
        <v>5052</v>
      </c>
      <c r="AU97" s="19">
        <v>4064</v>
      </c>
      <c r="AV97" s="19">
        <v>1495</v>
      </c>
      <c r="AW97" s="19">
        <v>59999</v>
      </c>
      <c r="AX97" s="19">
        <v>5070</v>
      </c>
      <c r="AY97" s="19">
        <v>0</v>
      </c>
      <c r="AZ97" s="19">
        <v>99</v>
      </c>
      <c r="BA97" s="19">
        <v>56</v>
      </c>
      <c r="BB97" s="19">
        <v>1</v>
      </c>
      <c r="BC97" s="19">
        <v>10</v>
      </c>
      <c r="BD97" s="19">
        <v>166</v>
      </c>
      <c r="BE97" s="19">
        <v>0</v>
      </c>
      <c r="BF97" s="19">
        <v>24</v>
      </c>
      <c r="BG97" s="19">
        <v>4</v>
      </c>
      <c r="BH97" s="19">
        <v>795</v>
      </c>
      <c r="BI97" s="19">
        <v>93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1</v>
      </c>
      <c r="BS97" s="19">
        <v>0</v>
      </c>
      <c r="BT97" s="19">
        <v>0</v>
      </c>
      <c r="BU97" s="19">
        <v>0</v>
      </c>
      <c r="BV97" s="19">
        <v>0</v>
      </c>
      <c r="BW97" s="19">
        <v>0</v>
      </c>
      <c r="BX97" s="19">
        <v>0</v>
      </c>
      <c r="BY97" s="19">
        <v>0</v>
      </c>
      <c r="BZ97" s="19">
        <v>1</v>
      </c>
      <c r="CA97" s="19">
        <v>1</v>
      </c>
      <c r="CB97" s="19">
        <v>0</v>
      </c>
      <c r="CC97" s="19">
        <v>0</v>
      </c>
      <c r="CD97" s="19">
        <v>0</v>
      </c>
      <c r="CE97" s="19">
        <v>0</v>
      </c>
      <c r="CF97" s="19">
        <v>0</v>
      </c>
      <c r="CG97" s="19">
        <v>0</v>
      </c>
      <c r="CH97" s="19">
        <v>0</v>
      </c>
      <c r="CI97" s="19">
        <v>0</v>
      </c>
      <c r="CJ97" s="19">
        <v>0</v>
      </c>
      <c r="CK97" s="19">
        <v>0</v>
      </c>
      <c r="CL97" s="19">
        <v>0</v>
      </c>
      <c r="CM97" s="19">
        <v>0</v>
      </c>
      <c r="CN97" s="19">
        <v>0</v>
      </c>
      <c r="CO97" s="19">
        <v>0</v>
      </c>
      <c r="CP97" s="19">
        <v>0</v>
      </c>
      <c r="CQ97" s="19">
        <v>0</v>
      </c>
      <c r="CR97" s="19">
        <v>0</v>
      </c>
      <c r="CS97" s="19">
        <v>0</v>
      </c>
      <c r="CT97" s="19">
        <v>0</v>
      </c>
      <c r="CU97" s="19">
        <v>0</v>
      </c>
      <c r="CV97" s="19">
        <v>0</v>
      </c>
      <c r="CW97" s="19">
        <v>0</v>
      </c>
      <c r="CX97" s="19">
        <v>0</v>
      </c>
      <c r="CY97" s="19">
        <v>0</v>
      </c>
      <c r="CZ97" s="19">
        <v>0</v>
      </c>
      <c r="DA97" s="19">
        <v>0</v>
      </c>
      <c r="DB97" s="19">
        <v>0</v>
      </c>
      <c r="DC97" s="19">
        <v>0</v>
      </c>
      <c r="DD97" s="19">
        <v>0</v>
      </c>
      <c r="DE97" s="19">
        <v>1</v>
      </c>
      <c r="DF97" s="19">
        <v>0</v>
      </c>
      <c r="DG97" s="19">
        <v>0</v>
      </c>
      <c r="DH97" s="19">
        <v>0</v>
      </c>
      <c r="DI97" s="19">
        <v>1</v>
      </c>
      <c r="DJ97" s="21">
        <v>40208</v>
      </c>
      <c r="DK97" s="19">
        <v>47614892</v>
      </c>
      <c r="DL97" s="19">
        <v>17556569</v>
      </c>
      <c r="DM97" s="19">
        <v>0</v>
      </c>
      <c r="DN97" s="19">
        <v>6638453</v>
      </c>
      <c r="DO97" s="19">
        <v>181096</v>
      </c>
      <c r="DP97" s="19">
        <v>12225289</v>
      </c>
      <c r="DQ97" s="19">
        <v>119327</v>
      </c>
      <c r="DR97" s="19">
        <v>10800253</v>
      </c>
      <c r="DS97" s="19">
        <v>93905</v>
      </c>
      <c r="DT97" s="22">
        <v>0.25</v>
      </c>
    </row>
    <row r="98" spans="1:124" x14ac:dyDescent="0.35">
      <c r="A98" s="19" t="s">
        <v>206</v>
      </c>
      <c r="B98" s="19" t="s">
        <v>222</v>
      </c>
      <c r="C98" s="19">
        <v>1924474.264874113</v>
      </c>
      <c r="D98" s="19">
        <v>307915.88237985806</v>
      </c>
      <c r="E98" s="20">
        <v>6884500</v>
      </c>
      <c r="F98" s="19">
        <v>1507</v>
      </c>
      <c r="G98" s="19">
        <v>26643</v>
      </c>
      <c r="H98" s="19">
        <v>71</v>
      </c>
      <c r="I98" s="19">
        <v>6252316</v>
      </c>
      <c r="J98" s="19">
        <v>501</v>
      </c>
      <c r="K98" s="19">
        <v>8913</v>
      </c>
      <c r="L98" s="19">
        <v>1322</v>
      </c>
      <c r="M98" s="19">
        <v>54211</v>
      </c>
      <c r="N98" s="19">
        <v>15672</v>
      </c>
      <c r="O98" s="19">
        <v>15</v>
      </c>
      <c r="P98" s="19">
        <v>1524</v>
      </c>
      <c r="Q98" s="19">
        <v>0</v>
      </c>
      <c r="R98" s="19">
        <v>83</v>
      </c>
      <c r="S98" s="19">
        <v>850</v>
      </c>
      <c r="T98" s="19">
        <v>57120</v>
      </c>
      <c r="U98" s="19">
        <v>414566</v>
      </c>
      <c r="V98" s="19">
        <v>563</v>
      </c>
      <c r="W98" s="19">
        <v>1301</v>
      </c>
      <c r="X98" s="19">
        <v>168</v>
      </c>
      <c r="Y98" s="19">
        <v>8975</v>
      </c>
      <c r="Z98" s="19">
        <v>19536</v>
      </c>
      <c r="AA98" s="19">
        <v>39</v>
      </c>
      <c r="AB98" s="19">
        <v>440</v>
      </c>
      <c r="AC98" s="19">
        <v>18164</v>
      </c>
      <c r="AD98" s="19">
        <v>119697.05230769231</v>
      </c>
      <c r="AE98" s="19">
        <v>62523.16</v>
      </c>
      <c r="AF98" s="19">
        <v>10842.2</v>
      </c>
      <c r="AG98" s="19">
        <v>14388</v>
      </c>
      <c r="AH98" s="19">
        <v>31889.692307692309</v>
      </c>
      <c r="AI98" s="19">
        <v>15</v>
      </c>
      <c r="AJ98" s="19">
        <v>39</v>
      </c>
      <c r="AK98" s="19">
        <v>148712</v>
      </c>
      <c r="AL98" s="19">
        <v>52102</v>
      </c>
      <c r="AM98" s="19">
        <v>10792</v>
      </c>
      <c r="AN98" s="19">
        <v>53966</v>
      </c>
      <c r="AO98" s="19">
        <v>31405</v>
      </c>
      <c r="AP98" s="19">
        <v>390</v>
      </c>
      <c r="AQ98" s="19">
        <v>57</v>
      </c>
      <c r="AR98" s="19">
        <v>94103</v>
      </c>
      <c r="AS98" s="19">
        <v>14388</v>
      </c>
      <c r="AT98" s="19">
        <v>17029</v>
      </c>
      <c r="AU98" s="19">
        <v>11119.5</v>
      </c>
      <c r="AV98" s="19">
        <v>4646</v>
      </c>
      <c r="AW98" s="19">
        <v>64085</v>
      </c>
      <c r="AX98" s="19">
        <v>12537</v>
      </c>
      <c r="AY98" s="19">
        <v>0</v>
      </c>
      <c r="AZ98" s="19">
        <v>112</v>
      </c>
      <c r="BA98" s="19">
        <v>117</v>
      </c>
      <c r="BB98" s="19">
        <v>1</v>
      </c>
      <c r="BC98" s="19">
        <v>12</v>
      </c>
      <c r="BD98" s="19">
        <v>242</v>
      </c>
      <c r="BE98" s="19">
        <v>0</v>
      </c>
      <c r="BF98" s="19">
        <v>24</v>
      </c>
      <c r="BG98" s="19">
        <v>1</v>
      </c>
      <c r="BH98" s="19">
        <v>604</v>
      </c>
      <c r="BI98" s="19">
        <v>459</v>
      </c>
      <c r="BJ98" s="19">
        <v>0</v>
      </c>
      <c r="BK98" s="19">
        <v>0</v>
      </c>
      <c r="BL98" s="19">
        <v>45567</v>
      </c>
      <c r="BM98" s="19">
        <v>670</v>
      </c>
      <c r="BN98" s="19">
        <v>267</v>
      </c>
      <c r="BO98" s="19">
        <v>4254</v>
      </c>
      <c r="BP98" s="19">
        <v>1</v>
      </c>
      <c r="BQ98" s="19">
        <v>0</v>
      </c>
      <c r="BR98" s="19">
        <v>1</v>
      </c>
      <c r="BS98" s="19">
        <v>0</v>
      </c>
      <c r="BT98" s="19">
        <v>0</v>
      </c>
      <c r="BU98" s="19">
        <v>0</v>
      </c>
      <c r="BV98" s="19">
        <v>0</v>
      </c>
      <c r="BW98" s="19">
        <v>0</v>
      </c>
      <c r="BX98" s="19">
        <v>0</v>
      </c>
      <c r="BY98" s="19">
        <v>0</v>
      </c>
      <c r="BZ98" s="19">
        <v>1</v>
      </c>
      <c r="CA98" s="19">
        <v>1</v>
      </c>
      <c r="CB98" s="19">
        <v>0</v>
      </c>
      <c r="CC98" s="19">
        <v>0</v>
      </c>
      <c r="CD98" s="19">
        <v>0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19">
        <v>0</v>
      </c>
      <c r="CL98" s="19">
        <v>0</v>
      </c>
      <c r="CM98" s="19">
        <v>0</v>
      </c>
      <c r="CN98" s="19">
        <v>0</v>
      </c>
      <c r="CO98" s="19">
        <v>0</v>
      </c>
      <c r="CP98" s="19">
        <v>0</v>
      </c>
      <c r="CQ98" s="19">
        <v>0</v>
      </c>
      <c r="CR98" s="19">
        <v>0</v>
      </c>
      <c r="CS98" s="19">
        <v>0</v>
      </c>
      <c r="CT98" s="19">
        <v>1</v>
      </c>
      <c r="CU98" s="19">
        <v>1</v>
      </c>
      <c r="CV98" s="19">
        <v>1</v>
      </c>
      <c r="CW98" s="19">
        <v>0</v>
      </c>
      <c r="CX98" s="19">
        <v>0</v>
      </c>
      <c r="CY98" s="19">
        <v>0</v>
      </c>
      <c r="CZ98" s="19">
        <v>0</v>
      </c>
      <c r="DA98" s="19">
        <v>0</v>
      </c>
      <c r="DB98" s="19">
        <v>0</v>
      </c>
      <c r="DC98" s="19">
        <v>0</v>
      </c>
      <c r="DD98" s="19">
        <v>0</v>
      </c>
      <c r="DE98" s="19">
        <v>0</v>
      </c>
      <c r="DF98" s="19">
        <v>0</v>
      </c>
      <c r="DG98" s="19">
        <v>0</v>
      </c>
      <c r="DH98" s="19">
        <v>0</v>
      </c>
      <c r="DI98" s="19">
        <v>1</v>
      </c>
      <c r="DJ98" s="21">
        <v>40204</v>
      </c>
      <c r="DK98" s="19">
        <v>127733917</v>
      </c>
      <c r="DL98" s="19">
        <v>84073102</v>
      </c>
      <c r="DM98" s="19">
        <v>3000</v>
      </c>
      <c r="DN98" s="19">
        <v>5708265</v>
      </c>
      <c r="DO98" s="19">
        <v>1763061</v>
      </c>
      <c r="DP98" s="19">
        <v>23004878</v>
      </c>
      <c r="DQ98" s="19">
        <v>3363722</v>
      </c>
      <c r="DR98" s="19">
        <v>9256440</v>
      </c>
      <c r="DS98" s="19">
        <v>561449</v>
      </c>
      <c r="DT98" s="22">
        <v>0.21</v>
      </c>
    </row>
    <row r="99" spans="1:124" x14ac:dyDescent="0.35">
      <c r="A99" s="19" t="s">
        <v>206</v>
      </c>
      <c r="B99" s="19" t="s">
        <v>223</v>
      </c>
      <c r="C99" s="19">
        <v>916031.81732529169</v>
      </c>
      <c r="D99" s="19">
        <v>146565.09077204668</v>
      </c>
      <c r="E99" s="20">
        <v>872210</v>
      </c>
      <c r="F99" s="19">
        <v>4</v>
      </c>
      <c r="G99" s="19">
        <v>1087</v>
      </c>
      <c r="H99" s="19">
        <v>306</v>
      </c>
      <c r="I99" s="19">
        <v>737118</v>
      </c>
      <c r="J99" s="19">
        <v>14</v>
      </c>
      <c r="K99" s="19">
        <v>590</v>
      </c>
      <c r="L99" s="19">
        <v>301</v>
      </c>
      <c r="M99" s="19">
        <v>7257</v>
      </c>
      <c r="N99" s="19">
        <v>333</v>
      </c>
      <c r="O99" s="19">
        <v>0</v>
      </c>
      <c r="P99" s="19">
        <v>10</v>
      </c>
      <c r="Q99" s="19">
        <v>0</v>
      </c>
      <c r="R99" s="19">
        <v>2</v>
      </c>
      <c r="S99" s="19">
        <v>15</v>
      </c>
      <c r="T99" s="19">
        <v>0</v>
      </c>
      <c r="U99" s="19">
        <v>124823</v>
      </c>
      <c r="V99" s="19">
        <v>2</v>
      </c>
      <c r="W99" s="19">
        <v>12</v>
      </c>
      <c r="X99" s="19">
        <v>3</v>
      </c>
      <c r="Y99" s="19">
        <v>151</v>
      </c>
      <c r="Z99" s="19">
        <v>182</v>
      </c>
      <c r="AA99" s="19">
        <v>0</v>
      </c>
      <c r="AB99" s="19">
        <v>0</v>
      </c>
      <c r="AC99" s="19">
        <v>0</v>
      </c>
      <c r="AD99" s="19">
        <v>19633.349230769229</v>
      </c>
      <c r="AE99" s="19">
        <v>7371.18</v>
      </c>
      <c r="AF99" s="19">
        <v>1451.4</v>
      </c>
      <c r="AG99" s="19">
        <v>1209</v>
      </c>
      <c r="AH99" s="19">
        <v>9601.7692307692305</v>
      </c>
      <c r="AI99" s="19">
        <v>0</v>
      </c>
      <c r="AJ99" s="19">
        <v>0</v>
      </c>
      <c r="AK99" s="19">
        <v>15765</v>
      </c>
      <c r="AL99" s="19">
        <v>6142</v>
      </c>
      <c r="AM99" s="19">
        <v>1564</v>
      </c>
      <c r="AN99" s="19">
        <v>1194</v>
      </c>
      <c r="AO99" s="19">
        <v>6865</v>
      </c>
      <c r="AP99" s="19">
        <v>0</v>
      </c>
      <c r="AQ99" s="19">
        <v>0</v>
      </c>
      <c r="AR99" s="19">
        <v>6835</v>
      </c>
      <c r="AS99" s="19">
        <v>1209</v>
      </c>
      <c r="AT99" s="19">
        <v>454</v>
      </c>
      <c r="AU99" s="19">
        <v>81.7</v>
      </c>
      <c r="AV99" s="19">
        <v>29</v>
      </c>
      <c r="AW99" s="19">
        <v>6428</v>
      </c>
      <c r="AX99" s="19">
        <v>83</v>
      </c>
      <c r="AY99" s="19">
        <v>0</v>
      </c>
      <c r="AZ99" s="19">
        <v>41</v>
      </c>
      <c r="BA99" s="19">
        <v>47</v>
      </c>
      <c r="BB99" s="19">
        <v>10</v>
      </c>
      <c r="BC99" s="19">
        <v>3</v>
      </c>
      <c r="BD99" s="19">
        <v>101</v>
      </c>
      <c r="BE99" s="19">
        <v>0</v>
      </c>
      <c r="BF99" s="19">
        <v>5</v>
      </c>
      <c r="BG99" s="19">
        <v>2</v>
      </c>
      <c r="BH99" s="19">
        <v>192</v>
      </c>
      <c r="BI99" s="19">
        <v>21</v>
      </c>
      <c r="BJ99" s="19">
        <v>0</v>
      </c>
      <c r="BK99" s="19">
        <v>0</v>
      </c>
      <c r="BL99" s="19">
        <v>1545</v>
      </c>
      <c r="BM99" s="19">
        <v>48</v>
      </c>
      <c r="BN99" s="19">
        <v>4</v>
      </c>
      <c r="BO99" s="19">
        <v>211</v>
      </c>
      <c r="BP99" s="19">
        <v>0</v>
      </c>
      <c r="BQ99" s="19">
        <v>0</v>
      </c>
      <c r="BR99" s="19">
        <v>1</v>
      </c>
      <c r="BS99" s="19">
        <v>0</v>
      </c>
      <c r="BT99" s="19">
        <v>0</v>
      </c>
      <c r="BU99" s="19">
        <v>0</v>
      </c>
      <c r="BV99" s="19">
        <v>0</v>
      </c>
      <c r="BW99" s="19">
        <v>0</v>
      </c>
      <c r="BX99" s="19">
        <v>0</v>
      </c>
      <c r="BY99" s="19">
        <v>0</v>
      </c>
      <c r="BZ99" s="19">
        <v>0</v>
      </c>
      <c r="CA99" s="19">
        <v>0</v>
      </c>
      <c r="CB99" s="19">
        <v>0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19">
        <v>0</v>
      </c>
      <c r="CL99" s="19">
        <v>0</v>
      </c>
      <c r="CM99" s="19">
        <v>0</v>
      </c>
      <c r="CN99" s="19">
        <v>0</v>
      </c>
      <c r="CO99" s="19">
        <v>0</v>
      </c>
      <c r="CP99" s="19">
        <v>1</v>
      </c>
      <c r="CQ99" s="19">
        <v>1</v>
      </c>
      <c r="CR99" s="19">
        <v>1</v>
      </c>
      <c r="CS99" s="19">
        <v>1</v>
      </c>
      <c r="CT99" s="19">
        <v>0</v>
      </c>
      <c r="CU99" s="19">
        <v>0</v>
      </c>
      <c r="CV99" s="19">
        <v>0</v>
      </c>
      <c r="CW99" s="19">
        <v>0</v>
      </c>
      <c r="CX99" s="19">
        <v>0</v>
      </c>
      <c r="CY99" s="19">
        <v>0</v>
      </c>
      <c r="CZ99" s="19">
        <v>0</v>
      </c>
      <c r="DA99" s="19">
        <v>0</v>
      </c>
      <c r="DB99" s="19">
        <v>0</v>
      </c>
      <c r="DC99" s="19">
        <v>0</v>
      </c>
      <c r="DD99" s="19">
        <v>0</v>
      </c>
      <c r="DE99" s="19">
        <v>0</v>
      </c>
      <c r="DF99" s="19">
        <v>0</v>
      </c>
      <c r="DG99" s="19">
        <v>0</v>
      </c>
      <c r="DH99" s="19">
        <v>0</v>
      </c>
      <c r="DI99" s="19">
        <v>0</v>
      </c>
      <c r="DJ99" s="21">
        <v>40115</v>
      </c>
      <c r="DK99" s="19">
        <v>12486140</v>
      </c>
      <c r="DL99" s="19">
        <v>7357199</v>
      </c>
      <c r="DM99" s="19">
        <v>0</v>
      </c>
      <c r="DN99" s="19">
        <v>778193</v>
      </c>
      <c r="DO99" s="19">
        <v>29990</v>
      </c>
      <c r="DP99" s="19">
        <v>2001493</v>
      </c>
      <c r="DQ99" s="19">
        <v>7246</v>
      </c>
      <c r="DR99" s="19">
        <v>2288848</v>
      </c>
      <c r="DS99" s="19">
        <v>23171</v>
      </c>
      <c r="DT99" s="22">
        <v>0.26</v>
      </c>
    </row>
    <row r="100" spans="1:124" x14ac:dyDescent="0.35">
      <c r="A100" s="19" t="s">
        <v>206</v>
      </c>
      <c r="B100" s="19" t="s">
        <v>224</v>
      </c>
      <c r="C100" s="19">
        <v>1813319.8724312859</v>
      </c>
      <c r="D100" s="19">
        <v>290131.17958900577</v>
      </c>
      <c r="E100" s="20">
        <v>12741680</v>
      </c>
      <c r="F100" s="19">
        <v>100</v>
      </c>
      <c r="G100" s="19">
        <v>21151</v>
      </c>
      <c r="H100" s="19">
        <v>798</v>
      </c>
      <c r="I100" s="19">
        <v>12418713</v>
      </c>
      <c r="J100" s="19">
        <v>12</v>
      </c>
      <c r="K100" s="19">
        <v>2394</v>
      </c>
      <c r="L100" s="19">
        <v>490</v>
      </c>
      <c r="M100" s="19">
        <v>28762</v>
      </c>
      <c r="N100" s="19">
        <v>3342</v>
      </c>
      <c r="O100" s="19">
        <v>0</v>
      </c>
      <c r="P100" s="19">
        <v>70</v>
      </c>
      <c r="Q100" s="19">
        <v>0</v>
      </c>
      <c r="R100" s="19">
        <v>19</v>
      </c>
      <c r="S100" s="19">
        <v>215</v>
      </c>
      <c r="T100" s="19">
        <v>10160</v>
      </c>
      <c r="U100" s="19">
        <v>239906</v>
      </c>
      <c r="V100" s="19">
        <v>2</v>
      </c>
      <c r="W100" s="19">
        <v>1375</v>
      </c>
      <c r="X100" s="19">
        <v>259</v>
      </c>
      <c r="Y100" s="19">
        <v>4839</v>
      </c>
      <c r="Z100" s="19">
        <v>5009</v>
      </c>
      <c r="AA100" s="19">
        <v>356</v>
      </c>
      <c r="AB100" s="19">
        <v>300</v>
      </c>
      <c r="AC100" s="19">
        <v>3408</v>
      </c>
      <c r="AD100" s="19">
        <v>157061.83769230769</v>
      </c>
      <c r="AE100" s="19">
        <v>124187.13</v>
      </c>
      <c r="AF100" s="19">
        <v>5752.4</v>
      </c>
      <c r="AG100" s="19">
        <v>8312</v>
      </c>
      <c r="AH100" s="19">
        <v>18454.307692307691</v>
      </c>
      <c r="AI100" s="19">
        <v>0</v>
      </c>
      <c r="AJ100" s="19">
        <v>356</v>
      </c>
      <c r="AK100" s="19">
        <v>140563</v>
      </c>
      <c r="AL100" s="19">
        <v>103488</v>
      </c>
      <c r="AM100" s="19">
        <v>6054</v>
      </c>
      <c r="AN100" s="19">
        <v>12202</v>
      </c>
      <c r="AO100" s="19">
        <v>15259</v>
      </c>
      <c r="AP100" s="19">
        <v>3560</v>
      </c>
      <c r="AQ100" s="19">
        <v>0</v>
      </c>
      <c r="AR100" s="19">
        <v>51295</v>
      </c>
      <c r="AS100" s="19">
        <v>8312</v>
      </c>
      <c r="AT100" s="19">
        <v>2313</v>
      </c>
      <c r="AU100" s="19">
        <v>952.7</v>
      </c>
      <c r="AV100" s="19">
        <v>854</v>
      </c>
      <c r="AW100" s="19">
        <v>40136</v>
      </c>
      <c r="AX100" s="19">
        <v>1185</v>
      </c>
      <c r="AY100" s="19">
        <v>0</v>
      </c>
      <c r="AZ100" s="19">
        <v>124</v>
      </c>
      <c r="BA100" s="19">
        <v>44</v>
      </c>
      <c r="BB100" s="19">
        <v>8</v>
      </c>
      <c r="BC100" s="19">
        <v>5</v>
      </c>
      <c r="BD100" s="19">
        <v>181</v>
      </c>
      <c r="BE100" s="19">
        <v>0</v>
      </c>
      <c r="BF100" s="19">
        <v>15</v>
      </c>
      <c r="BG100" s="19">
        <v>4</v>
      </c>
      <c r="BH100" s="19">
        <v>559</v>
      </c>
      <c r="BI100" s="19">
        <v>544</v>
      </c>
      <c r="BJ100" s="19">
        <v>0</v>
      </c>
      <c r="BK100" s="19">
        <v>0</v>
      </c>
      <c r="BL100" s="19">
        <v>5723</v>
      </c>
      <c r="BM100" s="19">
        <v>238</v>
      </c>
      <c r="BN100" s="19">
        <v>21</v>
      </c>
      <c r="BO100" s="19">
        <v>1032</v>
      </c>
      <c r="BP100" s="19">
        <v>0</v>
      </c>
      <c r="BQ100" s="19">
        <v>0</v>
      </c>
      <c r="BR100" s="19">
        <v>1</v>
      </c>
      <c r="BS100" s="19">
        <v>1</v>
      </c>
      <c r="BT100" s="19">
        <v>0</v>
      </c>
      <c r="BU100" s="19">
        <v>0</v>
      </c>
      <c r="BV100" s="19">
        <v>0</v>
      </c>
      <c r="BW100" s="19">
        <v>0</v>
      </c>
      <c r="BX100" s="19">
        <v>0</v>
      </c>
      <c r="BY100" s="19">
        <v>0</v>
      </c>
      <c r="BZ100" s="19">
        <v>0</v>
      </c>
      <c r="CA100" s="19">
        <v>0</v>
      </c>
      <c r="CB100" s="19">
        <v>0</v>
      </c>
      <c r="CC100" s="19">
        <v>0</v>
      </c>
      <c r="CD100" s="19">
        <v>0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19">
        <v>0</v>
      </c>
      <c r="CL100" s="19">
        <v>0</v>
      </c>
      <c r="CM100" s="19">
        <v>0</v>
      </c>
      <c r="CN100" s="19">
        <v>0</v>
      </c>
      <c r="CO100" s="19">
        <v>0</v>
      </c>
      <c r="CP100" s="19">
        <v>1</v>
      </c>
      <c r="CQ100" s="19">
        <v>1</v>
      </c>
      <c r="CR100" s="19">
        <v>1</v>
      </c>
      <c r="CS100" s="19">
        <v>1</v>
      </c>
      <c r="CT100" s="19">
        <v>1</v>
      </c>
      <c r="CU100" s="19">
        <v>1</v>
      </c>
      <c r="CV100" s="19">
        <v>0</v>
      </c>
      <c r="CW100" s="19">
        <v>0</v>
      </c>
      <c r="CX100" s="19">
        <v>0</v>
      </c>
      <c r="CY100" s="19">
        <v>0</v>
      </c>
      <c r="CZ100" s="19">
        <v>0</v>
      </c>
      <c r="DA100" s="19">
        <v>0</v>
      </c>
      <c r="DB100" s="19">
        <v>0</v>
      </c>
      <c r="DC100" s="19">
        <v>0</v>
      </c>
      <c r="DD100" s="19">
        <v>0</v>
      </c>
      <c r="DE100" s="19">
        <v>1</v>
      </c>
      <c r="DF100" s="19">
        <v>0</v>
      </c>
      <c r="DG100" s="19">
        <v>0</v>
      </c>
      <c r="DH100" s="19">
        <v>0</v>
      </c>
      <c r="DI100" s="19">
        <v>0</v>
      </c>
      <c r="DJ100" s="21">
        <v>40221</v>
      </c>
      <c r="DK100" s="19">
        <v>145627015</v>
      </c>
      <c r="DL100" s="19">
        <v>128187824</v>
      </c>
      <c r="DM100" s="19">
        <v>0</v>
      </c>
      <c r="DN100" s="19">
        <v>3130139</v>
      </c>
      <c r="DO100" s="19">
        <v>347519</v>
      </c>
      <c r="DP100" s="19">
        <v>8076707</v>
      </c>
      <c r="DQ100" s="19">
        <v>464360</v>
      </c>
      <c r="DR100" s="19">
        <v>4966880</v>
      </c>
      <c r="DS100" s="19">
        <v>453586</v>
      </c>
      <c r="DT100" s="22">
        <v>0.26</v>
      </c>
    </row>
    <row r="101" spans="1:124" x14ac:dyDescent="0.35">
      <c r="A101" s="19" t="s">
        <v>206</v>
      </c>
      <c r="B101" s="19" t="s">
        <v>225</v>
      </c>
      <c r="C101" s="19">
        <v>1916524.8821745478</v>
      </c>
      <c r="D101" s="19">
        <v>306643.98114792764</v>
      </c>
      <c r="E101" s="20">
        <v>2700362</v>
      </c>
      <c r="F101" s="19">
        <v>41</v>
      </c>
      <c r="G101" s="19">
        <v>6120</v>
      </c>
      <c r="H101" s="19">
        <v>318</v>
      </c>
      <c r="I101" s="19">
        <v>2228940</v>
      </c>
      <c r="J101" s="19">
        <v>28</v>
      </c>
      <c r="K101" s="19">
        <v>890</v>
      </c>
      <c r="L101" s="19">
        <v>22</v>
      </c>
      <c r="M101" s="19">
        <v>72702</v>
      </c>
      <c r="N101" s="19">
        <v>650</v>
      </c>
      <c r="O101" s="19">
        <v>0</v>
      </c>
      <c r="P101" s="19">
        <v>50</v>
      </c>
      <c r="Q101" s="19">
        <v>0</v>
      </c>
      <c r="R101" s="19">
        <v>13</v>
      </c>
      <c r="S101" s="19">
        <v>48</v>
      </c>
      <c r="T101" s="19">
        <v>740</v>
      </c>
      <c r="U101" s="19">
        <v>385927</v>
      </c>
      <c r="V101" s="19">
        <v>15</v>
      </c>
      <c r="W101" s="19">
        <v>525</v>
      </c>
      <c r="X101" s="19">
        <v>91</v>
      </c>
      <c r="Y101" s="19">
        <v>1441</v>
      </c>
      <c r="Z101" s="19">
        <v>1785</v>
      </c>
      <c r="AA101" s="19">
        <v>0</v>
      </c>
      <c r="AB101" s="19">
        <v>10</v>
      </c>
      <c r="AC101" s="19">
        <v>6</v>
      </c>
      <c r="AD101" s="19">
        <v>71947.492307692315</v>
      </c>
      <c r="AE101" s="19">
        <v>22289.4</v>
      </c>
      <c r="AF101" s="19">
        <v>14540.4</v>
      </c>
      <c r="AG101" s="19">
        <v>5431</v>
      </c>
      <c r="AH101" s="19">
        <v>29686.692307692309</v>
      </c>
      <c r="AI101" s="19">
        <v>0</v>
      </c>
      <c r="AJ101" s="19">
        <v>0</v>
      </c>
      <c r="AK101" s="19">
        <v>59501</v>
      </c>
      <c r="AL101" s="19">
        <v>18574</v>
      </c>
      <c r="AM101" s="19">
        <v>16944</v>
      </c>
      <c r="AN101" s="19">
        <v>2327</v>
      </c>
      <c r="AO101" s="19">
        <v>21656</v>
      </c>
      <c r="AP101" s="19">
        <v>0</v>
      </c>
      <c r="AQ101" s="19">
        <v>0</v>
      </c>
      <c r="AR101" s="19">
        <v>38541</v>
      </c>
      <c r="AS101" s="19">
        <v>5431</v>
      </c>
      <c r="AT101" s="19">
        <v>1194</v>
      </c>
      <c r="AU101" s="19">
        <v>412.5</v>
      </c>
      <c r="AV101" s="19">
        <v>365</v>
      </c>
      <c r="AW101" s="19">
        <v>30452</v>
      </c>
      <c r="AX101" s="19">
        <v>497</v>
      </c>
      <c r="AY101" s="19">
        <v>0</v>
      </c>
      <c r="AZ101" s="19">
        <v>57</v>
      </c>
      <c r="BA101" s="19">
        <v>21</v>
      </c>
      <c r="BB101" s="19">
        <v>0</v>
      </c>
      <c r="BC101" s="19">
        <v>2</v>
      </c>
      <c r="BD101" s="19">
        <v>80</v>
      </c>
      <c r="BE101" s="19">
        <v>0</v>
      </c>
      <c r="BF101" s="19">
        <v>0</v>
      </c>
      <c r="BG101" s="19">
        <v>0</v>
      </c>
      <c r="BH101" s="19">
        <v>628</v>
      </c>
      <c r="BI101" s="19">
        <v>97</v>
      </c>
      <c r="BJ101" s="19">
        <v>0</v>
      </c>
      <c r="BK101" s="19">
        <v>0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1</v>
      </c>
      <c r="BS101" s="19">
        <v>0</v>
      </c>
      <c r="BT101" s="19">
        <v>0</v>
      </c>
      <c r="BU101" s="19">
        <v>0</v>
      </c>
      <c r="BV101" s="19">
        <v>0</v>
      </c>
      <c r="BW101" s="19">
        <v>0</v>
      </c>
      <c r="BX101" s="19">
        <v>0</v>
      </c>
      <c r="BY101" s="19">
        <v>0</v>
      </c>
      <c r="BZ101" s="19">
        <v>1</v>
      </c>
      <c r="CA101" s="19">
        <v>1</v>
      </c>
      <c r="CB101" s="19">
        <v>0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19">
        <v>0</v>
      </c>
      <c r="CL101" s="19">
        <v>0</v>
      </c>
      <c r="CM101" s="19">
        <v>0</v>
      </c>
      <c r="CN101" s="19">
        <v>0</v>
      </c>
      <c r="CO101" s="19">
        <v>0</v>
      </c>
      <c r="CP101" s="19">
        <v>0</v>
      </c>
      <c r="CQ101" s="19">
        <v>0</v>
      </c>
      <c r="CR101" s="19">
        <v>0</v>
      </c>
      <c r="CS101" s="19">
        <v>0</v>
      </c>
      <c r="CT101" s="19">
        <v>1</v>
      </c>
      <c r="CU101" s="19">
        <v>1</v>
      </c>
      <c r="CV101" s="19">
        <v>0</v>
      </c>
      <c r="CW101" s="19">
        <v>0</v>
      </c>
      <c r="CX101" s="19">
        <v>0</v>
      </c>
      <c r="CY101" s="19">
        <v>0</v>
      </c>
      <c r="CZ101" s="19">
        <v>0</v>
      </c>
      <c r="DA101" s="19">
        <v>0</v>
      </c>
      <c r="DB101" s="19">
        <v>0</v>
      </c>
      <c r="DC101" s="19">
        <v>0</v>
      </c>
      <c r="DD101" s="19">
        <v>0</v>
      </c>
      <c r="DE101" s="19">
        <v>0</v>
      </c>
      <c r="DF101" s="19">
        <v>0</v>
      </c>
      <c r="DG101" s="19">
        <v>0</v>
      </c>
      <c r="DH101" s="19">
        <v>0</v>
      </c>
      <c r="DI101" s="19">
        <v>0</v>
      </c>
      <c r="DJ101" s="21">
        <v>40109</v>
      </c>
      <c r="DK101" s="19">
        <v>43352062</v>
      </c>
      <c r="DL101" s="19">
        <v>24454170</v>
      </c>
      <c r="DM101" s="19">
        <v>0</v>
      </c>
      <c r="DN101" s="19">
        <v>9024620</v>
      </c>
      <c r="DO101" s="19">
        <v>90182</v>
      </c>
      <c r="DP101" s="19">
        <v>2108955</v>
      </c>
      <c r="DQ101" s="19">
        <v>42411</v>
      </c>
      <c r="DR101" s="19">
        <v>7502764</v>
      </c>
      <c r="DS101" s="19">
        <v>128960</v>
      </c>
      <c r="DT101" s="22">
        <v>0.26</v>
      </c>
    </row>
    <row r="102" spans="1:124" x14ac:dyDescent="0.35">
      <c r="A102" s="19" t="s">
        <v>206</v>
      </c>
      <c r="B102" s="19" t="s">
        <v>226</v>
      </c>
      <c r="C102" s="19">
        <v>1633736.7278127151</v>
      </c>
      <c r="D102" s="19">
        <v>261397.87645003441</v>
      </c>
      <c r="E102" s="20">
        <v>825643</v>
      </c>
      <c r="F102" s="19">
        <v>0</v>
      </c>
      <c r="G102" s="19">
        <v>3627</v>
      </c>
      <c r="H102" s="19">
        <v>51</v>
      </c>
      <c r="I102" s="19">
        <v>598437</v>
      </c>
      <c r="J102" s="19">
        <v>0</v>
      </c>
      <c r="K102" s="19">
        <v>3705</v>
      </c>
      <c r="L102" s="19">
        <v>159</v>
      </c>
      <c r="M102" s="19">
        <v>34211</v>
      </c>
      <c r="N102" s="19">
        <v>655</v>
      </c>
      <c r="O102" s="19">
        <v>10</v>
      </c>
      <c r="P102" s="19">
        <v>0</v>
      </c>
      <c r="Q102" s="19">
        <v>0</v>
      </c>
      <c r="R102" s="19">
        <v>4</v>
      </c>
      <c r="S102" s="19">
        <v>180</v>
      </c>
      <c r="T102" s="19">
        <v>6120</v>
      </c>
      <c r="U102" s="19">
        <v>156778</v>
      </c>
      <c r="V102" s="19">
        <v>0</v>
      </c>
      <c r="W102" s="19">
        <v>281</v>
      </c>
      <c r="X102" s="19">
        <v>34</v>
      </c>
      <c r="Y102" s="19">
        <v>4025</v>
      </c>
      <c r="Z102" s="19">
        <v>15631</v>
      </c>
      <c r="AA102" s="19">
        <v>0</v>
      </c>
      <c r="AB102" s="19">
        <v>120</v>
      </c>
      <c r="AC102" s="19">
        <v>1615</v>
      </c>
      <c r="AD102" s="19">
        <v>28644.416153846156</v>
      </c>
      <c r="AE102" s="19">
        <v>5984.37</v>
      </c>
      <c r="AF102" s="19">
        <v>6842.2</v>
      </c>
      <c r="AG102" s="19">
        <v>3748</v>
      </c>
      <c r="AH102" s="19">
        <v>12059.846153846154</v>
      </c>
      <c r="AI102" s="19">
        <v>10</v>
      </c>
      <c r="AJ102" s="19">
        <v>0</v>
      </c>
      <c r="AK102" s="19">
        <v>22840</v>
      </c>
      <c r="AL102" s="19">
        <v>4987</v>
      </c>
      <c r="AM102" s="19">
        <v>6105</v>
      </c>
      <c r="AN102" s="19">
        <v>2279</v>
      </c>
      <c r="AO102" s="19">
        <v>9431</v>
      </c>
      <c r="AP102" s="19">
        <v>0</v>
      </c>
      <c r="AQ102" s="19">
        <v>38</v>
      </c>
      <c r="AR102" s="19">
        <v>25758</v>
      </c>
      <c r="AS102" s="19">
        <v>3748</v>
      </c>
      <c r="AT102" s="19">
        <v>761</v>
      </c>
      <c r="AU102" s="19">
        <v>1123</v>
      </c>
      <c r="AV102" s="19">
        <v>655</v>
      </c>
      <c r="AW102" s="19">
        <v>24981</v>
      </c>
      <c r="AX102" s="19">
        <v>1191</v>
      </c>
      <c r="AY102" s="19">
        <v>0</v>
      </c>
      <c r="AZ102" s="19">
        <v>41</v>
      </c>
      <c r="BA102" s="19">
        <v>41</v>
      </c>
      <c r="BB102" s="19">
        <v>1</v>
      </c>
      <c r="BC102" s="19">
        <v>18</v>
      </c>
      <c r="BD102" s="19">
        <v>101</v>
      </c>
      <c r="BE102" s="19">
        <v>0</v>
      </c>
      <c r="BF102" s="19">
        <v>5</v>
      </c>
      <c r="BG102" s="19">
        <v>3</v>
      </c>
      <c r="BH102" s="19">
        <v>251</v>
      </c>
      <c r="BI102" s="19">
        <v>82</v>
      </c>
      <c r="BJ102" s="19">
        <v>0</v>
      </c>
      <c r="BK102" s="19">
        <v>0</v>
      </c>
      <c r="BL102" s="19">
        <v>0</v>
      </c>
      <c r="BM102" s="19">
        <v>0</v>
      </c>
      <c r="BN102" s="19">
        <v>0</v>
      </c>
      <c r="BO102" s="19">
        <v>0</v>
      </c>
      <c r="BP102" s="19">
        <v>0</v>
      </c>
      <c r="BQ102" s="19">
        <v>0</v>
      </c>
      <c r="BR102" s="19">
        <v>1</v>
      </c>
      <c r="BS102" s="19">
        <v>0</v>
      </c>
      <c r="BT102" s="19">
        <v>0</v>
      </c>
      <c r="BU102" s="19">
        <v>0</v>
      </c>
      <c r="BV102" s="19">
        <v>0</v>
      </c>
      <c r="BW102" s="19">
        <v>0</v>
      </c>
      <c r="BX102" s="19">
        <v>0</v>
      </c>
      <c r="BY102" s="19">
        <v>0</v>
      </c>
      <c r="BZ102" s="19">
        <v>1</v>
      </c>
      <c r="CA102" s="19">
        <v>1</v>
      </c>
      <c r="CB102" s="19">
        <v>0</v>
      </c>
      <c r="CC102" s="19">
        <v>0</v>
      </c>
      <c r="CD102" s="19">
        <v>0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0</v>
      </c>
      <c r="CN102" s="19">
        <v>0</v>
      </c>
      <c r="CO102" s="19">
        <v>0</v>
      </c>
      <c r="CP102" s="19">
        <v>0</v>
      </c>
      <c r="CQ102" s="19">
        <v>0</v>
      </c>
      <c r="CR102" s="19">
        <v>0</v>
      </c>
      <c r="CS102" s="19">
        <v>0</v>
      </c>
      <c r="CT102" s="19">
        <v>0</v>
      </c>
      <c r="CU102" s="19">
        <v>0</v>
      </c>
      <c r="CV102" s="19">
        <v>0</v>
      </c>
      <c r="CW102" s="19">
        <v>0</v>
      </c>
      <c r="CX102" s="19">
        <v>0</v>
      </c>
      <c r="CY102" s="19">
        <v>0</v>
      </c>
      <c r="CZ102" s="19">
        <v>0</v>
      </c>
      <c r="DA102" s="19">
        <v>0</v>
      </c>
      <c r="DB102" s="19">
        <v>0</v>
      </c>
      <c r="DC102" s="19">
        <v>0</v>
      </c>
      <c r="DD102" s="19">
        <v>0</v>
      </c>
      <c r="DE102" s="19">
        <v>0</v>
      </c>
      <c r="DF102" s="19">
        <v>0</v>
      </c>
      <c r="DG102" s="19">
        <v>0</v>
      </c>
      <c r="DH102" s="19">
        <v>0</v>
      </c>
      <c r="DI102" s="19">
        <v>0</v>
      </c>
      <c r="DJ102" s="21">
        <v>40205</v>
      </c>
      <c r="DK102" s="19">
        <v>22556255</v>
      </c>
      <c r="DL102" s="19">
        <v>5729734</v>
      </c>
      <c r="DM102" s="19">
        <v>2000</v>
      </c>
      <c r="DN102" s="19">
        <v>3217571</v>
      </c>
      <c r="DO102" s="19">
        <v>82761</v>
      </c>
      <c r="DP102" s="19">
        <v>10011950</v>
      </c>
      <c r="DQ102" s="19">
        <v>229336</v>
      </c>
      <c r="DR102" s="19">
        <v>3205243</v>
      </c>
      <c r="DS102" s="19">
        <v>77660</v>
      </c>
      <c r="DT102" s="22">
        <v>0.16</v>
      </c>
    </row>
    <row r="103" spans="1:124" x14ac:dyDescent="0.35">
      <c r="A103" s="19" t="s">
        <v>206</v>
      </c>
      <c r="B103" s="19" t="s">
        <v>227</v>
      </c>
      <c r="C103" s="19">
        <v>2489604.088122589</v>
      </c>
      <c r="D103" s="19">
        <v>398336.65409961424</v>
      </c>
      <c r="E103" s="20">
        <v>4588878</v>
      </c>
      <c r="F103" s="19">
        <v>308</v>
      </c>
      <c r="G103" s="19">
        <v>19893</v>
      </c>
      <c r="H103" s="19">
        <v>395</v>
      </c>
      <c r="I103" s="19">
        <v>4032001</v>
      </c>
      <c r="J103" s="19">
        <v>10</v>
      </c>
      <c r="K103" s="19">
        <v>3949</v>
      </c>
      <c r="L103" s="19">
        <v>112</v>
      </c>
      <c r="M103" s="19">
        <v>41157</v>
      </c>
      <c r="N103" s="19">
        <v>2402</v>
      </c>
      <c r="O103" s="19">
        <v>0</v>
      </c>
      <c r="P103" s="19">
        <v>96</v>
      </c>
      <c r="Q103" s="19">
        <v>0</v>
      </c>
      <c r="R103" s="19">
        <v>1</v>
      </c>
      <c r="S103" s="19">
        <v>2</v>
      </c>
      <c r="T103" s="19">
        <v>10900</v>
      </c>
      <c r="U103" s="19">
        <v>470216</v>
      </c>
      <c r="V103" s="19">
        <v>1</v>
      </c>
      <c r="W103" s="19">
        <v>261</v>
      </c>
      <c r="X103" s="19">
        <v>6</v>
      </c>
      <c r="Y103" s="19">
        <v>1552</v>
      </c>
      <c r="Z103" s="19">
        <v>2733</v>
      </c>
      <c r="AA103" s="19">
        <v>0</v>
      </c>
      <c r="AB103" s="19">
        <v>10</v>
      </c>
      <c r="AC103" s="19">
        <v>2873</v>
      </c>
      <c r="AD103" s="19">
        <v>88610.871538461535</v>
      </c>
      <c r="AE103" s="19">
        <v>40320.01</v>
      </c>
      <c r="AF103" s="19">
        <v>8231.4</v>
      </c>
      <c r="AG103" s="19">
        <v>3889</v>
      </c>
      <c r="AH103" s="19">
        <v>36170.461538461539</v>
      </c>
      <c r="AI103" s="19">
        <v>0</v>
      </c>
      <c r="AJ103" s="19">
        <v>0</v>
      </c>
      <c r="AK103" s="19">
        <v>79209</v>
      </c>
      <c r="AL103" s="19">
        <v>33601</v>
      </c>
      <c r="AM103" s="19">
        <v>8970</v>
      </c>
      <c r="AN103" s="19">
        <v>8790</v>
      </c>
      <c r="AO103" s="19">
        <v>27848</v>
      </c>
      <c r="AP103" s="19">
        <v>0</v>
      </c>
      <c r="AQ103" s="19">
        <v>0</v>
      </c>
      <c r="AR103" s="19">
        <v>25387</v>
      </c>
      <c r="AS103" s="19">
        <v>3889</v>
      </c>
      <c r="AT103" s="19">
        <v>1878</v>
      </c>
      <c r="AU103" s="19">
        <v>162</v>
      </c>
      <c r="AV103" s="19">
        <v>299</v>
      </c>
      <c r="AW103" s="19">
        <v>21596</v>
      </c>
      <c r="AX103" s="19">
        <v>269</v>
      </c>
      <c r="AY103" s="19">
        <v>0</v>
      </c>
      <c r="AZ103" s="19">
        <v>48</v>
      </c>
      <c r="BA103" s="19">
        <v>45</v>
      </c>
      <c r="BB103" s="19">
        <v>15</v>
      </c>
      <c r="BC103" s="19">
        <v>8</v>
      </c>
      <c r="BD103" s="19">
        <v>116</v>
      </c>
      <c r="BE103" s="19">
        <v>0</v>
      </c>
      <c r="BF103" s="19">
        <v>39</v>
      </c>
      <c r="BG103" s="19">
        <v>0</v>
      </c>
      <c r="BH103" s="19">
        <v>848</v>
      </c>
      <c r="BI103" s="19">
        <v>126</v>
      </c>
      <c r="BJ103" s="19">
        <v>0</v>
      </c>
      <c r="BK103" s="19">
        <v>0</v>
      </c>
      <c r="BL103" s="19">
        <v>1011</v>
      </c>
      <c r="BM103" s="19">
        <v>45</v>
      </c>
      <c r="BN103" s="19">
        <v>6</v>
      </c>
      <c r="BO103" s="19">
        <v>262</v>
      </c>
      <c r="BP103" s="19">
        <v>1</v>
      </c>
      <c r="BQ103" s="19">
        <v>0</v>
      </c>
      <c r="BR103" s="19">
        <v>1</v>
      </c>
      <c r="BS103" s="19">
        <v>1</v>
      </c>
      <c r="BT103" s="19">
        <v>0</v>
      </c>
      <c r="BU103" s="19">
        <v>0</v>
      </c>
      <c r="BV103" s="19">
        <v>0</v>
      </c>
      <c r="BW103" s="19">
        <v>0</v>
      </c>
      <c r="BX103" s="19">
        <v>0</v>
      </c>
      <c r="BY103" s="19">
        <v>0</v>
      </c>
      <c r="BZ103" s="19">
        <v>1</v>
      </c>
      <c r="CA103" s="19">
        <v>1</v>
      </c>
      <c r="CB103" s="19">
        <v>0</v>
      </c>
      <c r="CC103" s="19">
        <v>0</v>
      </c>
      <c r="CD103" s="19">
        <v>0</v>
      </c>
      <c r="CE103" s="19">
        <v>0</v>
      </c>
      <c r="CF103" s="19">
        <v>0</v>
      </c>
      <c r="CG103" s="19">
        <v>0</v>
      </c>
      <c r="CH103" s="19">
        <v>0</v>
      </c>
      <c r="CI103" s="19">
        <v>0</v>
      </c>
      <c r="CJ103" s="19">
        <v>0</v>
      </c>
      <c r="CK103" s="19">
        <v>0</v>
      </c>
      <c r="CL103" s="19">
        <v>0</v>
      </c>
      <c r="CM103" s="19">
        <v>0</v>
      </c>
      <c r="CN103" s="19">
        <v>0</v>
      </c>
      <c r="CO103" s="19">
        <v>0</v>
      </c>
      <c r="CP103" s="19">
        <v>1</v>
      </c>
      <c r="CQ103" s="19">
        <v>1</v>
      </c>
      <c r="CR103" s="19">
        <v>1</v>
      </c>
      <c r="CS103" s="19">
        <v>1</v>
      </c>
      <c r="CT103" s="19">
        <v>1</v>
      </c>
      <c r="CU103" s="19">
        <v>1</v>
      </c>
      <c r="CV103" s="19">
        <v>0</v>
      </c>
      <c r="CW103" s="19">
        <v>0</v>
      </c>
      <c r="CX103" s="19">
        <v>0</v>
      </c>
      <c r="CY103" s="19">
        <v>0</v>
      </c>
      <c r="CZ103" s="19">
        <v>0</v>
      </c>
      <c r="DA103" s="19">
        <v>0</v>
      </c>
      <c r="DB103" s="19">
        <v>0</v>
      </c>
      <c r="DC103" s="19">
        <v>0</v>
      </c>
      <c r="DD103" s="19">
        <v>0</v>
      </c>
      <c r="DE103" s="19">
        <v>0</v>
      </c>
      <c r="DF103" s="19">
        <v>0</v>
      </c>
      <c r="DG103" s="19">
        <v>0</v>
      </c>
      <c r="DH103" s="19">
        <v>1</v>
      </c>
      <c r="DI103" s="19">
        <v>0</v>
      </c>
      <c r="DJ103" s="21">
        <v>40111</v>
      </c>
      <c r="DK103" s="19">
        <v>63074899</v>
      </c>
      <c r="DL103" s="19">
        <v>41016207</v>
      </c>
      <c r="DM103" s="19">
        <v>0</v>
      </c>
      <c r="DN103" s="19">
        <v>4563311</v>
      </c>
      <c r="DO103" s="19">
        <v>306548</v>
      </c>
      <c r="DP103" s="19">
        <v>6470928</v>
      </c>
      <c r="DQ103" s="19">
        <v>485260</v>
      </c>
      <c r="DR103" s="19">
        <v>9801210</v>
      </c>
      <c r="DS103" s="19">
        <v>431435</v>
      </c>
      <c r="DT103" s="22">
        <v>0.25</v>
      </c>
    </row>
    <row r="104" spans="1:124" x14ac:dyDescent="0.35">
      <c r="A104" s="19" t="s">
        <v>206</v>
      </c>
      <c r="B104" s="19" t="s">
        <v>228</v>
      </c>
      <c r="C104" s="19">
        <v>1989882.2300546754</v>
      </c>
      <c r="D104" s="19">
        <v>318381.15680874808</v>
      </c>
      <c r="E104" s="20">
        <v>6120833</v>
      </c>
      <c r="F104" s="19">
        <v>2539</v>
      </c>
      <c r="G104" s="19">
        <v>23277</v>
      </c>
      <c r="H104" s="19">
        <v>1586</v>
      </c>
      <c r="I104" s="19">
        <v>5333943</v>
      </c>
      <c r="J104" s="19">
        <v>315</v>
      </c>
      <c r="K104" s="19">
        <v>5233</v>
      </c>
      <c r="L104" s="19">
        <v>792</v>
      </c>
      <c r="M104" s="19">
        <v>80100</v>
      </c>
      <c r="N104" s="19">
        <v>13705</v>
      </c>
      <c r="O104" s="19">
        <v>0</v>
      </c>
      <c r="P104" s="19">
        <v>1100</v>
      </c>
      <c r="Q104" s="19">
        <v>0</v>
      </c>
      <c r="R104" s="19">
        <v>90</v>
      </c>
      <c r="S104" s="19">
        <v>904</v>
      </c>
      <c r="T104" s="19">
        <v>74640</v>
      </c>
      <c r="U104" s="19">
        <v>528554</v>
      </c>
      <c r="V104" s="19">
        <v>170</v>
      </c>
      <c r="W104" s="19">
        <v>3449</v>
      </c>
      <c r="X104" s="19">
        <v>521</v>
      </c>
      <c r="Y104" s="19">
        <v>9359</v>
      </c>
      <c r="Z104" s="19">
        <v>17764</v>
      </c>
      <c r="AA104" s="19">
        <v>0</v>
      </c>
      <c r="AB104" s="19">
        <v>1030</v>
      </c>
      <c r="AC104" s="19">
        <v>21762</v>
      </c>
      <c r="AD104" s="19">
        <v>122119.43</v>
      </c>
      <c r="AE104" s="19">
        <v>53339.43</v>
      </c>
      <c r="AF104" s="19">
        <v>16020</v>
      </c>
      <c r="AG104" s="19">
        <v>12102</v>
      </c>
      <c r="AH104" s="19">
        <v>40658</v>
      </c>
      <c r="AI104" s="19">
        <v>0</v>
      </c>
      <c r="AJ104" s="19">
        <v>0</v>
      </c>
      <c r="AK104" s="19">
        <v>146483</v>
      </c>
      <c r="AL104" s="19">
        <v>44449</v>
      </c>
      <c r="AM104" s="19">
        <v>17299</v>
      </c>
      <c r="AN104" s="19">
        <v>48596</v>
      </c>
      <c r="AO104" s="19">
        <v>36139</v>
      </c>
      <c r="AP104" s="19">
        <v>0</v>
      </c>
      <c r="AQ104" s="19">
        <v>0</v>
      </c>
      <c r="AR104" s="19">
        <v>74593</v>
      </c>
      <c r="AS104" s="19">
        <v>12102</v>
      </c>
      <c r="AT104" s="19">
        <v>13362</v>
      </c>
      <c r="AU104" s="19">
        <v>4703</v>
      </c>
      <c r="AV104" s="19">
        <v>4945</v>
      </c>
      <c r="AW104" s="19">
        <v>56069</v>
      </c>
      <c r="AX104" s="19">
        <v>5216</v>
      </c>
      <c r="AY104" s="19">
        <v>0</v>
      </c>
      <c r="AZ104" s="19">
        <v>150</v>
      </c>
      <c r="BA104" s="19">
        <v>88</v>
      </c>
      <c r="BB104" s="19">
        <v>3</v>
      </c>
      <c r="BC104" s="19">
        <v>10</v>
      </c>
      <c r="BD104" s="19">
        <v>251</v>
      </c>
      <c r="BE104" s="19">
        <v>0</v>
      </c>
      <c r="BF104" s="19">
        <v>39</v>
      </c>
      <c r="BG104" s="19">
        <v>3</v>
      </c>
      <c r="BH104" s="19">
        <v>665</v>
      </c>
      <c r="BI104" s="19">
        <v>367</v>
      </c>
      <c r="BJ104" s="19">
        <v>0</v>
      </c>
      <c r="BK104" s="19">
        <v>0</v>
      </c>
      <c r="BL104" s="19">
        <v>16642</v>
      </c>
      <c r="BM104" s="19">
        <v>369</v>
      </c>
      <c r="BN104" s="19">
        <v>119</v>
      </c>
      <c r="BO104" s="19">
        <v>2362</v>
      </c>
      <c r="BP104" s="19">
        <v>0</v>
      </c>
      <c r="BQ104" s="19">
        <v>0</v>
      </c>
      <c r="BR104" s="19">
        <v>1</v>
      </c>
      <c r="BS104" s="19">
        <v>1</v>
      </c>
      <c r="BT104" s="19">
        <v>0</v>
      </c>
      <c r="BU104" s="19">
        <v>0</v>
      </c>
      <c r="BV104" s="19">
        <v>0</v>
      </c>
      <c r="BW104" s="19">
        <v>0</v>
      </c>
      <c r="BX104" s="19">
        <v>0</v>
      </c>
      <c r="BY104" s="19">
        <v>0</v>
      </c>
      <c r="BZ104" s="19">
        <v>1</v>
      </c>
      <c r="CA104" s="19">
        <v>1</v>
      </c>
      <c r="CB104" s="19">
        <v>0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19">
        <v>0</v>
      </c>
      <c r="CL104" s="19">
        <v>0</v>
      </c>
      <c r="CM104" s="19">
        <v>0</v>
      </c>
      <c r="CN104" s="19">
        <v>0</v>
      </c>
      <c r="CO104" s="19">
        <v>0</v>
      </c>
      <c r="CP104" s="19">
        <v>0</v>
      </c>
      <c r="CQ104" s="19">
        <v>0</v>
      </c>
      <c r="CR104" s="19">
        <v>0</v>
      </c>
      <c r="CS104" s="19">
        <v>0</v>
      </c>
      <c r="CT104" s="19">
        <v>1</v>
      </c>
      <c r="CU104" s="19">
        <v>1</v>
      </c>
      <c r="CV104" s="19">
        <v>1</v>
      </c>
      <c r="CW104" s="19">
        <v>0</v>
      </c>
      <c r="CX104" s="19">
        <v>0</v>
      </c>
      <c r="CY104" s="19">
        <v>0</v>
      </c>
      <c r="CZ104" s="19">
        <v>0</v>
      </c>
      <c r="DA104" s="19">
        <v>0</v>
      </c>
      <c r="DB104" s="19">
        <v>0</v>
      </c>
      <c r="DC104" s="19">
        <v>0</v>
      </c>
      <c r="DD104" s="19">
        <v>0</v>
      </c>
      <c r="DE104" s="19">
        <v>1</v>
      </c>
      <c r="DF104" s="19">
        <v>0</v>
      </c>
      <c r="DG104" s="19">
        <v>0</v>
      </c>
      <c r="DH104" s="19">
        <v>0</v>
      </c>
      <c r="DI104" s="19">
        <v>0</v>
      </c>
      <c r="DJ104" s="21">
        <v>40210</v>
      </c>
      <c r="DK104" s="19">
        <v>108129657</v>
      </c>
      <c r="DL104" s="19">
        <v>64384274</v>
      </c>
      <c r="DM104" s="19">
        <v>0</v>
      </c>
      <c r="DN104" s="19">
        <v>9216977</v>
      </c>
      <c r="DO104" s="19">
        <v>1562905</v>
      </c>
      <c r="DP104" s="19">
        <v>17010679</v>
      </c>
      <c r="DQ104" s="19">
        <v>3873474</v>
      </c>
      <c r="DR104" s="19">
        <v>11583831</v>
      </c>
      <c r="DS104" s="19">
        <v>497517</v>
      </c>
      <c r="DT104" s="22">
        <v>0.25</v>
      </c>
    </row>
    <row r="105" spans="1:124" x14ac:dyDescent="0.35">
      <c r="A105" s="19" t="s">
        <v>206</v>
      </c>
      <c r="B105" s="19" t="s">
        <v>229</v>
      </c>
      <c r="C105" s="19">
        <v>1495111.6155051037</v>
      </c>
      <c r="D105" s="19">
        <v>239217.85848081659</v>
      </c>
      <c r="E105" s="20">
        <v>763215</v>
      </c>
      <c r="F105" s="19">
        <v>135</v>
      </c>
      <c r="G105" s="19">
        <v>927</v>
      </c>
      <c r="H105" s="19">
        <v>163</v>
      </c>
      <c r="I105" s="19">
        <v>606727</v>
      </c>
      <c r="J105" s="19">
        <v>20</v>
      </c>
      <c r="K105" s="19">
        <v>2220</v>
      </c>
      <c r="L105" s="19">
        <v>1461</v>
      </c>
      <c r="M105" s="19">
        <v>18510</v>
      </c>
      <c r="N105" s="19">
        <v>1144</v>
      </c>
      <c r="O105" s="19">
        <v>0</v>
      </c>
      <c r="P105" s="19">
        <v>89</v>
      </c>
      <c r="Q105" s="19">
        <v>0</v>
      </c>
      <c r="R105" s="19">
        <v>32</v>
      </c>
      <c r="S105" s="19">
        <v>231</v>
      </c>
      <c r="T105" s="19">
        <v>7060</v>
      </c>
      <c r="U105" s="19">
        <v>108416</v>
      </c>
      <c r="V105" s="19">
        <v>14</v>
      </c>
      <c r="W105" s="19">
        <v>2347</v>
      </c>
      <c r="X105" s="19">
        <v>371</v>
      </c>
      <c r="Y105" s="19">
        <v>3820</v>
      </c>
      <c r="Z105" s="19">
        <v>7116</v>
      </c>
      <c r="AA105" s="19">
        <v>32</v>
      </c>
      <c r="AB105" s="19">
        <v>150</v>
      </c>
      <c r="AC105" s="19">
        <v>2230</v>
      </c>
      <c r="AD105" s="19">
        <v>24176.962307692309</v>
      </c>
      <c r="AE105" s="19">
        <v>6067.27</v>
      </c>
      <c r="AF105" s="19">
        <v>3702</v>
      </c>
      <c r="AG105" s="19">
        <v>6036</v>
      </c>
      <c r="AH105" s="19">
        <v>8339.6923076923085</v>
      </c>
      <c r="AI105" s="19">
        <v>0</v>
      </c>
      <c r="AJ105" s="19">
        <v>32</v>
      </c>
      <c r="AK105" s="19">
        <v>20747</v>
      </c>
      <c r="AL105" s="19">
        <v>5055</v>
      </c>
      <c r="AM105" s="19">
        <v>3554</v>
      </c>
      <c r="AN105" s="19">
        <v>4016</v>
      </c>
      <c r="AO105" s="19">
        <v>7802</v>
      </c>
      <c r="AP105" s="19">
        <v>320</v>
      </c>
      <c r="AQ105" s="19">
        <v>0</v>
      </c>
      <c r="AR105" s="19">
        <v>60914</v>
      </c>
      <c r="AS105" s="19">
        <v>6036</v>
      </c>
      <c r="AT105" s="19">
        <v>3014</v>
      </c>
      <c r="AU105" s="19">
        <v>2932</v>
      </c>
      <c r="AV105" s="19">
        <v>1046</v>
      </c>
      <c r="AW105" s="19">
        <v>30969</v>
      </c>
      <c r="AX105" s="19">
        <v>3221</v>
      </c>
      <c r="AY105" s="19">
        <v>0</v>
      </c>
      <c r="AZ105" s="19">
        <v>42</v>
      </c>
      <c r="BA105" s="19">
        <v>53</v>
      </c>
      <c r="BB105" s="19">
        <v>7</v>
      </c>
      <c r="BC105" s="19">
        <v>14</v>
      </c>
      <c r="BD105" s="19">
        <v>116</v>
      </c>
      <c r="BE105" s="19">
        <v>0</v>
      </c>
      <c r="BF105" s="19">
        <v>14</v>
      </c>
      <c r="BG105" s="19">
        <v>0</v>
      </c>
      <c r="BH105" s="19">
        <v>269</v>
      </c>
      <c r="BI105" s="19">
        <v>29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1</v>
      </c>
      <c r="BS105" s="19">
        <v>0</v>
      </c>
      <c r="BT105" s="19">
        <v>0</v>
      </c>
      <c r="BU105" s="19">
        <v>0</v>
      </c>
      <c r="BV105" s="19">
        <v>0</v>
      </c>
      <c r="BW105" s="19">
        <v>0</v>
      </c>
      <c r="BX105" s="19">
        <v>0</v>
      </c>
      <c r="BY105" s="19">
        <v>0</v>
      </c>
      <c r="BZ105" s="19">
        <v>1</v>
      </c>
      <c r="CA105" s="19">
        <v>1</v>
      </c>
      <c r="CB105" s="19">
        <v>1</v>
      </c>
      <c r="CC105" s="19">
        <v>0</v>
      </c>
      <c r="CD105" s="19">
        <v>1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19">
        <v>0</v>
      </c>
      <c r="CL105" s="19">
        <v>0</v>
      </c>
      <c r="CM105" s="19">
        <v>0</v>
      </c>
      <c r="CN105" s="19">
        <v>0</v>
      </c>
      <c r="CO105" s="19">
        <v>1</v>
      </c>
      <c r="CP105" s="19">
        <v>0</v>
      </c>
      <c r="CQ105" s="19">
        <v>0</v>
      </c>
      <c r="CR105" s="19">
        <v>0</v>
      </c>
      <c r="CS105" s="19">
        <v>0</v>
      </c>
      <c r="CT105" s="19">
        <v>0</v>
      </c>
      <c r="CU105" s="19">
        <v>0</v>
      </c>
      <c r="CV105" s="19">
        <v>0</v>
      </c>
      <c r="CW105" s="19">
        <v>0</v>
      </c>
      <c r="CX105" s="19">
        <v>0</v>
      </c>
      <c r="CY105" s="19">
        <v>0</v>
      </c>
      <c r="CZ105" s="19">
        <v>0</v>
      </c>
      <c r="DA105" s="19">
        <v>0</v>
      </c>
      <c r="DB105" s="19">
        <v>0</v>
      </c>
      <c r="DC105" s="19">
        <v>0</v>
      </c>
      <c r="DD105" s="19">
        <v>0</v>
      </c>
      <c r="DE105" s="19">
        <v>0</v>
      </c>
      <c r="DF105" s="19">
        <v>0</v>
      </c>
      <c r="DG105" s="19">
        <v>0</v>
      </c>
      <c r="DH105" s="19">
        <v>0</v>
      </c>
      <c r="DI105" s="19">
        <v>0</v>
      </c>
      <c r="DJ105" s="21">
        <v>40203</v>
      </c>
      <c r="DK105" s="19">
        <v>20423247</v>
      </c>
      <c r="DL105" s="19">
        <v>4380236</v>
      </c>
      <c r="DM105" s="19">
        <v>0</v>
      </c>
      <c r="DN105" s="19">
        <v>1851789</v>
      </c>
      <c r="DO105" s="19">
        <v>144595</v>
      </c>
      <c r="DP105" s="19">
        <v>11345880</v>
      </c>
      <c r="DQ105" s="19">
        <v>364354</v>
      </c>
      <c r="DR105" s="19">
        <v>2317157</v>
      </c>
      <c r="DS105" s="19">
        <v>19236</v>
      </c>
      <c r="DT105" s="22">
        <v>0.23</v>
      </c>
    </row>
    <row r="106" spans="1:124" x14ac:dyDescent="0.35">
      <c r="A106" s="19" t="s">
        <v>206</v>
      </c>
      <c r="B106" s="19" t="s">
        <v>230</v>
      </c>
      <c r="C106" s="19">
        <v>905149.00348438649</v>
      </c>
      <c r="D106" s="19">
        <v>144823.84055750183</v>
      </c>
      <c r="E106" s="20">
        <v>731292</v>
      </c>
      <c r="F106" s="19">
        <v>158</v>
      </c>
      <c r="G106" s="19">
        <v>767</v>
      </c>
      <c r="H106" s="19">
        <v>0</v>
      </c>
      <c r="I106" s="19">
        <v>535033</v>
      </c>
      <c r="J106" s="19">
        <v>47</v>
      </c>
      <c r="K106" s="19">
        <v>195</v>
      </c>
      <c r="L106" s="19">
        <v>16</v>
      </c>
      <c r="M106" s="19">
        <v>8884</v>
      </c>
      <c r="N106" s="19">
        <v>45</v>
      </c>
      <c r="O106" s="19">
        <v>0</v>
      </c>
      <c r="P106" s="19">
        <v>79</v>
      </c>
      <c r="Q106" s="19">
        <v>0</v>
      </c>
      <c r="R106" s="19">
        <v>0</v>
      </c>
      <c r="S106" s="19">
        <v>134</v>
      </c>
      <c r="T106" s="19">
        <v>760</v>
      </c>
      <c r="U106" s="19">
        <v>183912</v>
      </c>
      <c r="V106" s="19">
        <v>5</v>
      </c>
      <c r="W106" s="19">
        <v>87</v>
      </c>
      <c r="X106" s="19">
        <v>6</v>
      </c>
      <c r="Y106" s="19">
        <v>550</v>
      </c>
      <c r="Z106" s="19">
        <v>235</v>
      </c>
      <c r="AA106" s="19">
        <v>9</v>
      </c>
      <c r="AB106" s="19">
        <v>20</v>
      </c>
      <c r="AC106" s="19">
        <v>350</v>
      </c>
      <c r="AD106" s="19">
        <v>21392.206923076923</v>
      </c>
      <c r="AE106" s="19">
        <v>5350.33</v>
      </c>
      <c r="AF106" s="19">
        <v>1776.8</v>
      </c>
      <c r="AG106" s="19">
        <v>109</v>
      </c>
      <c r="AH106" s="19">
        <v>14147.076923076924</v>
      </c>
      <c r="AI106" s="19">
        <v>0</v>
      </c>
      <c r="AJ106" s="19">
        <v>9</v>
      </c>
      <c r="AK106" s="19">
        <v>17565</v>
      </c>
      <c r="AL106" s="19">
        <v>4459</v>
      </c>
      <c r="AM106" s="19">
        <v>1887</v>
      </c>
      <c r="AN106" s="19">
        <v>183</v>
      </c>
      <c r="AO106" s="19">
        <v>10946</v>
      </c>
      <c r="AP106" s="19">
        <v>90</v>
      </c>
      <c r="AQ106" s="19">
        <v>0</v>
      </c>
      <c r="AR106" s="19">
        <v>344</v>
      </c>
      <c r="AS106" s="19">
        <v>109</v>
      </c>
      <c r="AT106" s="19">
        <v>169</v>
      </c>
      <c r="AU106" s="19">
        <v>32</v>
      </c>
      <c r="AV106" s="19">
        <v>23</v>
      </c>
      <c r="AW106" s="19">
        <v>187</v>
      </c>
      <c r="AX106" s="19">
        <v>62</v>
      </c>
      <c r="AY106" s="19">
        <v>0</v>
      </c>
      <c r="AZ106" s="19">
        <v>28</v>
      </c>
      <c r="BA106" s="19">
        <v>20</v>
      </c>
      <c r="BB106" s="19">
        <v>0</v>
      </c>
      <c r="BC106" s="19">
        <v>0</v>
      </c>
      <c r="BD106" s="19">
        <v>48</v>
      </c>
      <c r="BE106" s="19">
        <v>0</v>
      </c>
      <c r="BF106" s="19">
        <v>11</v>
      </c>
      <c r="BG106" s="19">
        <v>1</v>
      </c>
      <c r="BH106" s="19">
        <v>191</v>
      </c>
      <c r="BI106" s="19">
        <v>2</v>
      </c>
      <c r="BJ106" s="19">
        <v>0</v>
      </c>
      <c r="BK106" s="19">
        <v>0</v>
      </c>
      <c r="BL106" s="19">
        <v>1277</v>
      </c>
      <c r="BM106" s="19">
        <v>62</v>
      </c>
      <c r="BN106" s="19">
        <v>0</v>
      </c>
      <c r="BO106" s="19">
        <v>64</v>
      </c>
      <c r="BP106" s="19">
        <v>0</v>
      </c>
      <c r="BQ106" s="19">
        <v>0</v>
      </c>
      <c r="BR106" s="19">
        <v>1</v>
      </c>
      <c r="BS106" s="19">
        <v>0</v>
      </c>
      <c r="BT106" s="19">
        <v>0</v>
      </c>
      <c r="BU106" s="19">
        <v>0</v>
      </c>
      <c r="BV106" s="19">
        <v>0</v>
      </c>
      <c r="BW106" s="19">
        <v>0</v>
      </c>
      <c r="BX106" s="19">
        <v>0</v>
      </c>
      <c r="BY106" s="19">
        <v>0</v>
      </c>
      <c r="BZ106" s="19">
        <v>0</v>
      </c>
      <c r="CA106" s="19">
        <v>0</v>
      </c>
      <c r="CB106" s="19">
        <v>0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0</v>
      </c>
      <c r="CM106" s="19">
        <v>0</v>
      </c>
      <c r="CN106" s="19">
        <v>0</v>
      </c>
      <c r="CO106" s="19">
        <v>0</v>
      </c>
      <c r="CP106" s="19">
        <v>0</v>
      </c>
      <c r="CQ106" s="19">
        <v>0</v>
      </c>
      <c r="CR106" s="19">
        <v>0</v>
      </c>
      <c r="CS106" s="19">
        <v>0</v>
      </c>
      <c r="CT106" s="19">
        <v>0</v>
      </c>
      <c r="CU106" s="19">
        <v>0</v>
      </c>
      <c r="CV106" s="19">
        <v>0</v>
      </c>
      <c r="CW106" s="19">
        <v>0</v>
      </c>
      <c r="CX106" s="19">
        <v>0</v>
      </c>
      <c r="CY106" s="19">
        <v>0</v>
      </c>
      <c r="CZ106" s="19">
        <v>0</v>
      </c>
      <c r="DA106" s="19">
        <v>0</v>
      </c>
      <c r="DB106" s="19">
        <v>0</v>
      </c>
      <c r="DC106" s="19">
        <v>0</v>
      </c>
      <c r="DD106" s="19">
        <v>0</v>
      </c>
      <c r="DE106" s="19">
        <v>0</v>
      </c>
      <c r="DF106" s="19">
        <v>0</v>
      </c>
      <c r="DG106" s="19">
        <v>0</v>
      </c>
      <c r="DH106" s="19">
        <v>0</v>
      </c>
      <c r="DI106" s="19">
        <v>0</v>
      </c>
      <c r="DJ106" s="21">
        <v>40120</v>
      </c>
      <c r="DK106" s="19">
        <v>11060182</v>
      </c>
      <c r="DL106" s="19">
        <v>5517749</v>
      </c>
      <c r="DM106" s="19">
        <v>0</v>
      </c>
      <c r="DN106" s="19">
        <v>935081</v>
      </c>
      <c r="DO106" s="19">
        <v>3870</v>
      </c>
      <c r="DP106" s="19">
        <v>543173</v>
      </c>
      <c r="DQ106" s="19">
        <v>134691</v>
      </c>
      <c r="DR106" s="19">
        <v>3909067</v>
      </c>
      <c r="DS106" s="19">
        <v>16551</v>
      </c>
      <c r="DT106" s="22">
        <v>0.21</v>
      </c>
    </row>
    <row r="107" spans="1:124" x14ac:dyDescent="0.35">
      <c r="A107" s="19" t="s">
        <v>206</v>
      </c>
      <c r="B107" s="19" t="s">
        <v>231</v>
      </c>
      <c r="C107" s="19">
        <v>1768575.3413198686</v>
      </c>
      <c r="D107" s="19">
        <v>282972.05461117899</v>
      </c>
      <c r="E107" s="20">
        <v>17274568</v>
      </c>
      <c r="F107" s="19">
        <v>416</v>
      </c>
      <c r="G107" s="19">
        <v>52267</v>
      </c>
      <c r="H107" s="19">
        <v>816</v>
      </c>
      <c r="I107" s="19">
        <v>16715760</v>
      </c>
      <c r="J107" s="19">
        <v>113</v>
      </c>
      <c r="K107" s="19">
        <v>9858</v>
      </c>
      <c r="L107" s="19">
        <v>1113</v>
      </c>
      <c r="M107" s="19">
        <v>47325</v>
      </c>
      <c r="N107" s="19">
        <v>7397</v>
      </c>
      <c r="O107" s="19">
        <v>15</v>
      </c>
      <c r="P107" s="19">
        <v>662</v>
      </c>
      <c r="Q107" s="19">
        <v>0</v>
      </c>
      <c r="R107" s="19">
        <v>89</v>
      </c>
      <c r="S107" s="19">
        <v>496</v>
      </c>
      <c r="T107" s="19">
        <v>30920</v>
      </c>
      <c r="U107" s="19">
        <v>368748</v>
      </c>
      <c r="V107" s="19">
        <v>49</v>
      </c>
      <c r="W107" s="19">
        <v>895</v>
      </c>
      <c r="X107" s="19">
        <v>67</v>
      </c>
      <c r="Y107" s="19">
        <v>9073</v>
      </c>
      <c r="Z107" s="19">
        <v>19640</v>
      </c>
      <c r="AA107" s="19">
        <v>4</v>
      </c>
      <c r="AB107" s="19">
        <v>240</v>
      </c>
      <c r="AC107" s="19">
        <v>8605</v>
      </c>
      <c r="AD107" s="19">
        <v>214854.83076923079</v>
      </c>
      <c r="AE107" s="19">
        <v>167157.6</v>
      </c>
      <c r="AF107" s="19">
        <v>9465</v>
      </c>
      <c r="AG107" s="19">
        <v>9848</v>
      </c>
      <c r="AH107" s="19">
        <v>28365.23076923077</v>
      </c>
      <c r="AI107" s="19">
        <v>15</v>
      </c>
      <c r="AJ107" s="19">
        <v>4</v>
      </c>
      <c r="AK107" s="19">
        <v>201406</v>
      </c>
      <c r="AL107" s="19">
        <v>139297</v>
      </c>
      <c r="AM107" s="19">
        <v>8901</v>
      </c>
      <c r="AN107" s="19">
        <v>26796</v>
      </c>
      <c r="AO107" s="19">
        <v>26315</v>
      </c>
      <c r="AP107" s="19">
        <v>40</v>
      </c>
      <c r="AQ107" s="19">
        <v>57</v>
      </c>
      <c r="AR107" s="19">
        <v>97448</v>
      </c>
      <c r="AS107" s="19">
        <v>9848</v>
      </c>
      <c r="AT107" s="19">
        <v>6384</v>
      </c>
      <c r="AU107" s="19">
        <v>4503</v>
      </c>
      <c r="AV107" s="19">
        <v>1883</v>
      </c>
      <c r="AW107" s="19">
        <v>51708</v>
      </c>
      <c r="AX107" s="19">
        <v>5114</v>
      </c>
      <c r="AY107" s="19">
        <v>24592.518595962021</v>
      </c>
      <c r="AZ107" s="19">
        <v>280</v>
      </c>
      <c r="BA107" s="19">
        <v>43</v>
      </c>
      <c r="BB107" s="19">
        <v>0</v>
      </c>
      <c r="BC107" s="19">
        <v>13</v>
      </c>
      <c r="BD107" s="19">
        <v>336</v>
      </c>
      <c r="BE107" s="19">
        <v>204</v>
      </c>
      <c r="BF107" s="19">
        <v>85</v>
      </c>
      <c r="BG107" s="19">
        <v>9</v>
      </c>
      <c r="BH107" s="19">
        <v>637</v>
      </c>
      <c r="BI107" s="19">
        <v>839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1</v>
      </c>
      <c r="BQ107" s="19">
        <v>1</v>
      </c>
      <c r="BR107" s="19">
        <v>1</v>
      </c>
      <c r="BS107" s="19">
        <v>0</v>
      </c>
      <c r="BT107" s="19">
        <v>0</v>
      </c>
      <c r="BU107" s="19">
        <v>0</v>
      </c>
      <c r="BV107" s="19">
        <v>0</v>
      </c>
      <c r="BW107" s="19">
        <v>0</v>
      </c>
      <c r="BX107" s="19">
        <v>0</v>
      </c>
      <c r="BY107" s="19">
        <v>0</v>
      </c>
      <c r="BZ107" s="19">
        <v>1</v>
      </c>
      <c r="CA107" s="19">
        <v>1</v>
      </c>
      <c r="CB107" s="19">
        <v>0</v>
      </c>
      <c r="CC107" s="19">
        <v>0</v>
      </c>
      <c r="CD107" s="19">
        <v>0</v>
      </c>
      <c r="CE107" s="19">
        <v>0</v>
      </c>
      <c r="CF107" s="19">
        <v>0</v>
      </c>
      <c r="CG107" s="19">
        <v>0</v>
      </c>
      <c r="CH107" s="19">
        <v>0</v>
      </c>
      <c r="CI107" s="19">
        <v>1</v>
      </c>
      <c r="CJ107" s="19">
        <v>0</v>
      </c>
      <c r="CK107" s="19">
        <v>1</v>
      </c>
      <c r="CL107" s="19">
        <v>1</v>
      </c>
      <c r="CM107" s="19">
        <v>1</v>
      </c>
      <c r="CN107" s="19">
        <v>1</v>
      </c>
      <c r="CO107" s="19">
        <v>0</v>
      </c>
      <c r="CP107" s="19">
        <v>0</v>
      </c>
      <c r="CQ107" s="19">
        <v>0</v>
      </c>
      <c r="CR107" s="19">
        <v>0</v>
      </c>
      <c r="CS107" s="19">
        <v>0</v>
      </c>
      <c r="CT107" s="19">
        <v>1</v>
      </c>
      <c r="CU107" s="19">
        <v>1</v>
      </c>
      <c r="CV107" s="19">
        <v>0</v>
      </c>
      <c r="CW107" s="19">
        <v>0</v>
      </c>
      <c r="CX107" s="19">
        <v>0</v>
      </c>
      <c r="CY107" s="19">
        <v>0</v>
      </c>
      <c r="CZ107" s="19">
        <v>0</v>
      </c>
      <c r="DA107" s="19">
        <v>0</v>
      </c>
      <c r="DB107" s="19">
        <v>0</v>
      </c>
      <c r="DC107" s="19">
        <v>0</v>
      </c>
      <c r="DD107" s="19">
        <v>0</v>
      </c>
      <c r="DE107" s="19">
        <v>0</v>
      </c>
      <c r="DF107" s="19">
        <v>0</v>
      </c>
      <c r="DG107" s="19">
        <v>0</v>
      </c>
      <c r="DH107" s="19">
        <v>0</v>
      </c>
      <c r="DI107" s="19">
        <v>1</v>
      </c>
      <c r="DJ107" s="21">
        <v>40206</v>
      </c>
      <c r="DK107" s="19">
        <v>281439180</v>
      </c>
      <c r="DL107" s="19">
        <v>243565522</v>
      </c>
      <c r="DM107" s="19">
        <v>3000</v>
      </c>
      <c r="DN107" s="19">
        <v>4643186</v>
      </c>
      <c r="DO107" s="19">
        <v>929533</v>
      </c>
      <c r="DP107" s="19">
        <v>21559551</v>
      </c>
      <c r="DQ107" s="19">
        <v>1485168</v>
      </c>
      <c r="DR107" s="19">
        <v>8177402</v>
      </c>
      <c r="DS107" s="19">
        <v>1075818</v>
      </c>
      <c r="DT107" s="22">
        <v>0.25</v>
      </c>
    </row>
    <row r="108" spans="1:124" x14ac:dyDescent="0.35">
      <c r="A108" s="19" t="s">
        <v>206</v>
      </c>
      <c r="B108" s="19" t="s">
        <v>232</v>
      </c>
      <c r="C108" s="19">
        <v>994359.82113572652</v>
      </c>
      <c r="D108" s="19">
        <v>159097.57138171623</v>
      </c>
      <c r="E108" s="20">
        <v>1163389</v>
      </c>
      <c r="F108" s="19">
        <v>26</v>
      </c>
      <c r="G108" s="19">
        <v>3223</v>
      </c>
      <c r="H108" s="19">
        <v>71</v>
      </c>
      <c r="I108" s="19">
        <v>1089577</v>
      </c>
      <c r="J108" s="19">
        <v>2</v>
      </c>
      <c r="K108" s="19">
        <v>293</v>
      </c>
      <c r="L108" s="19">
        <v>8</v>
      </c>
      <c r="M108" s="19">
        <v>4746</v>
      </c>
      <c r="N108" s="19">
        <v>501</v>
      </c>
      <c r="O108" s="19">
        <v>0</v>
      </c>
      <c r="P108" s="19">
        <v>0</v>
      </c>
      <c r="Q108" s="19">
        <v>0</v>
      </c>
      <c r="R108" s="19">
        <v>0</v>
      </c>
      <c r="S108" s="19">
        <v>2</v>
      </c>
      <c r="T108" s="19">
        <v>1040</v>
      </c>
      <c r="U108" s="19">
        <v>63419</v>
      </c>
      <c r="V108" s="19">
        <v>0</v>
      </c>
      <c r="W108" s="19">
        <v>36</v>
      </c>
      <c r="X108" s="19">
        <v>7</v>
      </c>
      <c r="Y108" s="19">
        <v>277</v>
      </c>
      <c r="Z108" s="19">
        <v>48</v>
      </c>
      <c r="AA108" s="19">
        <v>0</v>
      </c>
      <c r="AB108" s="19">
        <v>10</v>
      </c>
      <c r="AC108" s="19">
        <v>103</v>
      </c>
      <c r="AD108" s="19">
        <v>17186.354615384618</v>
      </c>
      <c r="AE108" s="19">
        <v>10895.77</v>
      </c>
      <c r="AF108" s="19">
        <v>949.2</v>
      </c>
      <c r="AG108" s="19">
        <v>463</v>
      </c>
      <c r="AH108" s="19">
        <v>4878.3846153846152</v>
      </c>
      <c r="AI108" s="19">
        <v>0</v>
      </c>
      <c r="AJ108" s="19">
        <v>0</v>
      </c>
      <c r="AK108" s="19">
        <v>15605</v>
      </c>
      <c r="AL108" s="19">
        <v>9080</v>
      </c>
      <c r="AM108" s="19">
        <v>956</v>
      </c>
      <c r="AN108" s="19">
        <v>1807</v>
      </c>
      <c r="AO108" s="19">
        <v>3762</v>
      </c>
      <c r="AP108" s="19">
        <v>0</v>
      </c>
      <c r="AQ108" s="19">
        <v>0</v>
      </c>
      <c r="AR108" s="19">
        <v>3856</v>
      </c>
      <c r="AS108" s="19">
        <v>463</v>
      </c>
      <c r="AT108" s="19">
        <v>269</v>
      </c>
      <c r="AU108" s="19">
        <v>44</v>
      </c>
      <c r="AV108" s="19">
        <v>45</v>
      </c>
      <c r="AW108" s="19">
        <v>3299</v>
      </c>
      <c r="AX108" s="19">
        <v>46</v>
      </c>
      <c r="AY108" s="19">
        <v>0</v>
      </c>
      <c r="AZ108" s="19">
        <v>22</v>
      </c>
      <c r="BA108" s="19">
        <v>47</v>
      </c>
      <c r="BB108" s="19">
        <v>8</v>
      </c>
      <c r="BC108" s="19">
        <v>5</v>
      </c>
      <c r="BD108" s="19">
        <v>82</v>
      </c>
      <c r="BE108" s="19">
        <v>0</v>
      </c>
      <c r="BF108" s="19">
        <v>11</v>
      </c>
      <c r="BG108" s="19">
        <v>1</v>
      </c>
      <c r="BH108" s="19">
        <v>134</v>
      </c>
      <c r="BI108" s="19">
        <v>13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  <c r="BR108" s="19">
        <v>1</v>
      </c>
      <c r="BS108" s="19">
        <v>1</v>
      </c>
      <c r="BT108" s="19">
        <v>0</v>
      </c>
      <c r="BU108" s="19">
        <v>0</v>
      </c>
      <c r="BV108" s="19">
        <v>0</v>
      </c>
      <c r="BW108" s="19">
        <v>0</v>
      </c>
      <c r="BX108" s="19">
        <v>0</v>
      </c>
      <c r="BY108" s="19">
        <v>0</v>
      </c>
      <c r="BZ108" s="19">
        <v>0</v>
      </c>
      <c r="CA108" s="19">
        <v>0</v>
      </c>
      <c r="CB108" s="19">
        <v>0</v>
      </c>
      <c r="CC108" s="19">
        <v>0</v>
      </c>
      <c r="CD108" s="19">
        <v>0</v>
      </c>
      <c r="CE108" s="19">
        <v>0</v>
      </c>
      <c r="CF108" s="19">
        <v>0</v>
      </c>
      <c r="CG108" s="19">
        <v>0</v>
      </c>
      <c r="CH108" s="19">
        <v>0</v>
      </c>
      <c r="CI108" s="19">
        <v>0</v>
      </c>
      <c r="CJ108" s="19">
        <v>0</v>
      </c>
      <c r="CK108" s="19">
        <v>0</v>
      </c>
      <c r="CL108" s="19">
        <v>0</v>
      </c>
      <c r="CM108" s="19">
        <v>0</v>
      </c>
      <c r="CN108" s="19">
        <v>0</v>
      </c>
      <c r="CO108" s="19">
        <v>0</v>
      </c>
      <c r="CP108" s="19">
        <v>1</v>
      </c>
      <c r="CQ108" s="19">
        <v>1</v>
      </c>
      <c r="CR108" s="19">
        <v>1</v>
      </c>
      <c r="CS108" s="19">
        <v>1</v>
      </c>
      <c r="CT108" s="19">
        <v>0</v>
      </c>
      <c r="CU108" s="19">
        <v>0</v>
      </c>
      <c r="CV108" s="19">
        <v>0</v>
      </c>
      <c r="CW108" s="19">
        <v>0</v>
      </c>
      <c r="CX108" s="19">
        <v>0</v>
      </c>
      <c r="CY108" s="19">
        <v>0</v>
      </c>
      <c r="CZ108" s="19">
        <v>0</v>
      </c>
      <c r="DA108" s="19">
        <v>0</v>
      </c>
      <c r="DB108" s="19">
        <v>0</v>
      </c>
      <c r="DC108" s="19">
        <v>0</v>
      </c>
      <c r="DD108" s="19">
        <v>0</v>
      </c>
      <c r="DE108" s="19">
        <v>1</v>
      </c>
      <c r="DF108" s="19">
        <v>0</v>
      </c>
      <c r="DG108" s="19">
        <v>0</v>
      </c>
      <c r="DH108" s="19">
        <v>0</v>
      </c>
      <c r="DI108" s="19">
        <v>0</v>
      </c>
      <c r="DJ108" s="21">
        <v>40116</v>
      </c>
      <c r="DK108" s="19">
        <v>14201293</v>
      </c>
      <c r="DL108" s="19">
        <v>11758859</v>
      </c>
      <c r="DM108" s="19">
        <v>0</v>
      </c>
      <c r="DN108" s="19">
        <v>459193</v>
      </c>
      <c r="DO108" s="19">
        <v>52634</v>
      </c>
      <c r="DP108" s="19">
        <v>611189</v>
      </c>
      <c r="DQ108" s="19">
        <v>20400</v>
      </c>
      <c r="DR108" s="19">
        <v>1251196</v>
      </c>
      <c r="DS108" s="19">
        <v>47822</v>
      </c>
      <c r="DT108" s="22">
        <v>0.24</v>
      </c>
    </row>
    <row r="109" spans="1:124" x14ac:dyDescent="0.35">
      <c r="A109" s="19" t="s">
        <v>206</v>
      </c>
      <c r="B109" s="19" t="s">
        <v>233</v>
      </c>
      <c r="C109" s="19">
        <v>783095.62019068364</v>
      </c>
      <c r="D109" s="19">
        <v>125295.29923050938</v>
      </c>
      <c r="E109" s="20">
        <v>827408</v>
      </c>
      <c r="F109" s="19">
        <v>15</v>
      </c>
      <c r="G109" s="19">
        <v>3080</v>
      </c>
      <c r="H109" s="19">
        <v>65</v>
      </c>
      <c r="I109" s="19">
        <v>770760</v>
      </c>
      <c r="J109" s="19">
        <v>2</v>
      </c>
      <c r="K109" s="19">
        <v>898</v>
      </c>
      <c r="L109" s="19">
        <v>33</v>
      </c>
      <c r="M109" s="19">
        <v>2662</v>
      </c>
      <c r="N109" s="19">
        <v>761</v>
      </c>
      <c r="O109" s="19">
        <v>20</v>
      </c>
      <c r="P109" s="19">
        <v>0</v>
      </c>
      <c r="Q109" s="19">
        <v>0</v>
      </c>
      <c r="R109" s="19">
        <v>1</v>
      </c>
      <c r="S109" s="19">
        <v>0</v>
      </c>
      <c r="T109" s="19">
        <v>60</v>
      </c>
      <c r="U109" s="19">
        <v>48631</v>
      </c>
      <c r="V109" s="19">
        <v>0</v>
      </c>
      <c r="W109" s="19">
        <v>18</v>
      </c>
      <c r="X109" s="19">
        <v>52</v>
      </c>
      <c r="Y109" s="19">
        <v>230</v>
      </c>
      <c r="Z109" s="19">
        <v>120</v>
      </c>
      <c r="AA109" s="19">
        <v>0</v>
      </c>
      <c r="AB109" s="19">
        <v>0</v>
      </c>
      <c r="AC109" s="19">
        <v>0</v>
      </c>
      <c r="AD109" s="19">
        <v>12891.846153846154</v>
      </c>
      <c r="AE109" s="19">
        <v>7707.6</v>
      </c>
      <c r="AF109" s="19">
        <v>532.4</v>
      </c>
      <c r="AG109" s="19">
        <v>891</v>
      </c>
      <c r="AH109" s="19">
        <v>3740.8461538461538</v>
      </c>
      <c r="AI109" s="19">
        <v>20</v>
      </c>
      <c r="AJ109" s="19">
        <v>0</v>
      </c>
      <c r="AK109" s="19">
        <v>12598</v>
      </c>
      <c r="AL109" s="19">
        <v>6422</v>
      </c>
      <c r="AM109" s="19">
        <v>566</v>
      </c>
      <c r="AN109" s="19">
        <v>2743</v>
      </c>
      <c r="AO109" s="19">
        <v>2791</v>
      </c>
      <c r="AP109" s="19">
        <v>0</v>
      </c>
      <c r="AQ109" s="19">
        <v>76</v>
      </c>
      <c r="AR109" s="19">
        <v>7774</v>
      </c>
      <c r="AS109" s="19">
        <v>891</v>
      </c>
      <c r="AT109" s="19">
        <v>536</v>
      </c>
      <c r="AU109" s="19">
        <v>149.19999999999999</v>
      </c>
      <c r="AV109" s="19">
        <v>272</v>
      </c>
      <c r="AW109" s="19">
        <v>10997</v>
      </c>
      <c r="AX109" s="19">
        <v>174</v>
      </c>
      <c r="AY109" s="19">
        <v>0</v>
      </c>
      <c r="AZ109" s="19">
        <v>32</v>
      </c>
      <c r="BA109" s="19">
        <v>37</v>
      </c>
      <c r="BB109" s="19">
        <v>6</v>
      </c>
      <c r="BC109" s="19">
        <v>7</v>
      </c>
      <c r="BD109" s="19">
        <v>82</v>
      </c>
      <c r="BE109" s="19">
        <v>0</v>
      </c>
      <c r="BF109" s="19">
        <v>11</v>
      </c>
      <c r="BG109" s="19">
        <v>1</v>
      </c>
      <c r="BH109" s="19">
        <v>135</v>
      </c>
      <c r="BI109" s="19">
        <v>10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  <c r="BR109" s="19">
        <v>1</v>
      </c>
      <c r="BS109" s="19">
        <v>1</v>
      </c>
      <c r="BT109" s="19">
        <v>0</v>
      </c>
      <c r="BU109" s="19">
        <v>0</v>
      </c>
      <c r="BV109" s="19">
        <v>0</v>
      </c>
      <c r="BW109" s="19">
        <v>0</v>
      </c>
      <c r="BX109" s="19">
        <v>0</v>
      </c>
      <c r="BY109" s="19">
        <v>0</v>
      </c>
      <c r="BZ109" s="19">
        <v>0</v>
      </c>
      <c r="CA109" s="19">
        <v>0</v>
      </c>
      <c r="CB109" s="19">
        <v>0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  <c r="CM109" s="19">
        <v>0</v>
      </c>
      <c r="CN109" s="19">
        <v>0</v>
      </c>
      <c r="CO109" s="19">
        <v>0</v>
      </c>
      <c r="CP109" s="19">
        <v>1</v>
      </c>
      <c r="CQ109" s="19">
        <v>1</v>
      </c>
      <c r="CR109" s="19">
        <v>1</v>
      </c>
      <c r="CS109" s="19">
        <v>1</v>
      </c>
      <c r="CT109" s="19">
        <v>0</v>
      </c>
      <c r="CU109" s="19">
        <v>0</v>
      </c>
      <c r="CV109" s="19">
        <v>0</v>
      </c>
      <c r="CW109" s="19">
        <v>0</v>
      </c>
      <c r="CX109" s="19">
        <v>0</v>
      </c>
      <c r="CY109" s="19">
        <v>0</v>
      </c>
      <c r="CZ109" s="19">
        <v>0</v>
      </c>
      <c r="DA109" s="19">
        <v>0</v>
      </c>
      <c r="DB109" s="19">
        <v>0</v>
      </c>
      <c r="DC109" s="19">
        <v>0</v>
      </c>
      <c r="DD109" s="19">
        <v>0</v>
      </c>
      <c r="DE109" s="19">
        <v>1</v>
      </c>
      <c r="DF109" s="19">
        <v>0</v>
      </c>
      <c r="DG109" s="19">
        <v>0</v>
      </c>
      <c r="DH109" s="19">
        <v>0</v>
      </c>
      <c r="DI109" s="19">
        <v>0</v>
      </c>
      <c r="DJ109" s="21">
        <v>40117</v>
      </c>
      <c r="DK109" s="19">
        <v>11330328</v>
      </c>
      <c r="DL109" s="19">
        <v>8499789</v>
      </c>
      <c r="DM109" s="19">
        <v>4000</v>
      </c>
      <c r="DN109" s="19">
        <v>285370</v>
      </c>
      <c r="DO109" s="19">
        <v>80693</v>
      </c>
      <c r="DP109" s="19">
        <v>1427474</v>
      </c>
      <c r="DQ109" s="19">
        <v>5433</v>
      </c>
      <c r="DR109" s="19">
        <v>960236</v>
      </c>
      <c r="DS109" s="19">
        <v>67333</v>
      </c>
      <c r="DT109" s="22">
        <v>0.21</v>
      </c>
    </row>
    <row r="110" spans="1:124" x14ac:dyDescent="0.35">
      <c r="A110" s="19" t="s">
        <v>206</v>
      </c>
      <c r="B110" s="19" t="s">
        <v>234</v>
      </c>
      <c r="C110" s="19">
        <v>1917953.8513886197</v>
      </c>
      <c r="D110" s="19">
        <v>306872.61622217915</v>
      </c>
      <c r="E110" s="20">
        <v>696163</v>
      </c>
      <c r="F110" s="19">
        <v>0</v>
      </c>
      <c r="G110" s="19">
        <v>7688</v>
      </c>
      <c r="H110" s="19">
        <v>0</v>
      </c>
      <c r="I110" s="19">
        <v>595175</v>
      </c>
      <c r="J110" s="19">
        <v>0</v>
      </c>
      <c r="K110" s="19">
        <v>51</v>
      </c>
      <c r="L110" s="19">
        <v>1</v>
      </c>
      <c r="M110" s="19">
        <v>17131</v>
      </c>
      <c r="N110" s="19">
        <v>166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580</v>
      </c>
      <c r="U110" s="19">
        <v>75301</v>
      </c>
      <c r="V110" s="19">
        <v>0</v>
      </c>
      <c r="W110" s="19">
        <v>27</v>
      </c>
      <c r="X110" s="19">
        <v>6</v>
      </c>
      <c r="Y110" s="19">
        <v>13</v>
      </c>
      <c r="Z110" s="19">
        <v>14</v>
      </c>
      <c r="AA110" s="19">
        <v>0</v>
      </c>
      <c r="AB110" s="19">
        <v>10</v>
      </c>
      <c r="AC110" s="19">
        <v>0</v>
      </c>
      <c r="AD110" s="19">
        <v>15716.334615384616</v>
      </c>
      <c r="AE110" s="19">
        <v>5951.75</v>
      </c>
      <c r="AF110" s="19">
        <v>3426.2</v>
      </c>
      <c r="AG110" s="19">
        <v>546</v>
      </c>
      <c r="AH110" s="19">
        <v>5792.3846153846152</v>
      </c>
      <c r="AI110" s="19">
        <v>0</v>
      </c>
      <c r="AJ110" s="19">
        <v>0</v>
      </c>
      <c r="AK110" s="19">
        <v>15279</v>
      </c>
      <c r="AL110" s="19">
        <v>4960</v>
      </c>
      <c r="AM110" s="19">
        <v>4139</v>
      </c>
      <c r="AN110" s="19">
        <v>578</v>
      </c>
      <c r="AO110" s="19">
        <v>5602</v>
      </c>
      <c r="AP110" s="19">
        <v>0</v>
      </c>
      <c r="AQ110" s="19">
        <v>0</v>
      </c>
      <c r="AR110" s="19">
        <v>1886</v>
      </c>
      <c r="AS110" s="19">
        <v>546</v>
      </c>
      <c r="AT110" s="19">
        <v>0</v>
      </c>
      <c r="AU110" s="19">
        <v>0</v>
      </c>
      <c r="AV110" s="19">
        <v>0</v>
      </c>
      <c r="AW110" s="19">
        <v>2434</v>
      </c>
      <c r="AX110" s="19">
        <v>0</v>
      </c>
      <c r="AY110" s="19">
        <v>0</v>
      </c>
      <c r="AZ110" s="19">
        <v>5</v>
      </c>
      <c r="BA110" s="19">
        <v>26</v>
      </c>
      <c r="BB110" s="19">
        <v>5</v>
      </c>
      <c r="BC110" s="19">
        <v>10</v>
      </c>
      <c r="BD110" s="19">
        <v>46</v>
      </c>
      <c r="BE110" s="19">
        <v>0</v>
      </c>
      <c r="BF110" s="19">
        <v>37</v>
      </c>
      <c r="BG110" s="19">
        <v>2</v>
      </c>
      <c r="BH110" s="19">
        <v>203</v>
      </c>
      <c r="BI110" s="19">
        <v>5</v>
      </c>
      <c r="BJ110" s="19">
        <v>0</v>
      </c>
      <c r="BK110" s="19">
        <v>0</v>
      </c>
      <c r="BL110" s="19">
        <v>0</v>
      </c>
      <c r="BM110" s="19">
        <v>0</v>
      </c>
      <c r="BN110" s="19">
        <v>0</v>
      </c>
      <c r="BO110" s="19">
        <v>0</v>
      </c>
      <c r="BP110" s="19">
        <v>0</v>
      </c>
      <c r="BQ110" s="19">
        <v>0</v>
      </c>
      <c r="BR110" s="19">
        <v>1</v>
      </c>
      <c r="BS110" s="19">
        <v>1</v>
      </c>
      <c r="BT110" s="19">
        <v>0</v>
      </c>
      <c r="BU110" s="19">
        <v>0</v>
      </c>
      <c r="BV110" s="19">
        <v>0</v>
      </c>
      <c r="BW110" s="19">
        <v>0</v>
      </c>
      <c r="BX110" s="19">
        <v>0</v>
      </c>
      <c r="BY110" s="19">
        <v>0</v>
      </c>
      <c r="BZ110" s="19">
        <v>0</v>
      </c>
      <c r="CA110" s="19">
        <v>0</v>
      </c>
      <c r="CB110" s="19">
        <v>0</v>
      </c>
      <c r="CC110" s="19">
        <v>0</v>
      </c>
      <c r="CD110" s="19">
        <v>0</v>
      </c>
      <c r="CE110" s="19">
        <v>0</v>
      </c>
      <c r="CF110" s="19">
        <v>0</v>
      </c>
      <c r="CG110" s="19">
        <v>0</v>
      </c>
      <c r="CH110" s="19">
        <v>0</v>
      </c>
      <c r="CI110" s="19">
        <v>0</v>
      </c>
      <c r="CJ110" s="19">
        <v>0</v>
      </c>
      <c r="CK110" s="19">
        <v>0</v>
      </c>
      <c r="CL110" s="19">
        <v>0</v>
      </c>
      <c r="CM110" s="19">
        <v>0</v>
      </c>
      <c r="CN110" s="19">
        <v>0</v>
      </c>
      <c r="CO110" s="19">
        <v>0</v>
      </c>
      <c r="CP110" s="19">
        <v>0</v>
      </c>
      <c r="CQ110" s="19">
        <v>0</v>
      </c>
      <c r="CR110" s="19">
        <v>0</v>
      </c>
      <c r="CS110" s="19">
        <v>0</v>
      </c>
      <c r="CT110" s="19">
        <v>0</v>
      </c>
      <c r="CU110" s="19">
        <v>0</v>
      </c>
      <c r="CV110" s="19">
        <v>0</v>
      </c>
      <c r="CW110" s="19">
        <v>0</v>
      </c>
      <c r="CX110" s="19">
        <v>0</v>
      </c>
      <c r="CY110" s="19">
        <v>0</v>
      </c>
      <c r="CZ110" s="19">
        <v>0</v>
      </c>
      <c r="DA110" s="19">
        <v>0</v>
      </c>
      <c r="DB110" s="19">
        <v>0</v>
      </c>
      <c r="DC110" s="19">
        <v>0</v>
      </c>
      <c r="DD110" s="19">
        <v>0</v>
      </c>
      <c r="DE110" s="19">
        <v>0</v>
      </c>
      <c r="DF110" s="19">
        <v>0</v>
      </c>
      <c r="DG110" s="19">
        <v>0</v>
      </c>
      <c r="DH110" s="19">
        <v>1</v>
      </c>
      <c r="DI110" s="19">
        <v>0</v>
      </c>
      <c r="DJ110" s="21">
        <v>40222</v>
      </c>
      <c r="DK110" s="19">
        <v>12078259</v>
      </c>
      <c r="DL110" s="19">
        <v>7492407</v>
      </c>
      <c r="DM110" s="19">
        <v>0</v>
      </c>
      <c r="DN110" s="19">
        <v>2403580</v>
      </c>
      <c r="DO110" s="19">
        <v>16594</v>
      </c>
      <c r="DP110" s="19">
        <v>101453</v>
      </c>
      <c r="DQ110" s="19">
        <v>0</v>
      </c>
      <c r="DR110" s="19">
        <v>1892828</v>
      </c>
      <c r="DS110" s="19">
        <v>171397</v>
      </c>
      <c r="DT110" s="22">
        <v>0.25</v>
      </c>
    </row>
    <row r="111" spans="1:124" x14ac:dyDescent="0.35">
      <c r="A111" s="19" t="s">
        <v>206</v>
      </c>
      <c r="B111" s="19" t="s">
        <v>235</v>
      </c>
      <c r="C111" s="19">
        <v>1168186.1071394174</v>
      </c>
      <c r="D111" s="19">
        <v>186909.77714230679</v>
      </c>
      <c r="E111" s="20">
        <v>2021924</v>
      </c>
      <c r="F111" s="19">
        <v>51</v>
      </c>
      <c r="G111" s="19">
        <v>9140</v>
      </c>
      <c r="H111" s="19">
        <v>0</v>
      </c>
      <c r="I111" s="19">
        <v>1549979</v>
      </c>
      <c r="J111" s="19">
        <v>195</v>
      </c>
      <c r="K111" s="19">
        <v>410</v>
      </c>
      <c r="L111" s="19">
        <v>5</v>
      </c>
      <c r="M111" s="19">
        <v>22197</v>
      </c>
      <c r="N111" s="19">
        <v>233</v>
      </c>
      <c r="O111" s="19">
        <v>10000</v>
      </c>
      <c r="P111" s="19">
        <v>161</v>
      </c>
      <c r="Q111" s="19">
        <v>0</v>
      </c>
      <c r="R111" s="19">
        <v>0</v>
      </c>
      <c r="S111" s="19">
        <v>88</v>
      </c>
      <c r="T111" s="19">
        <v>12560</v>
      </c>
      <c r="U111" s="19">
        <v>411560</v>
      </c>
      <c r="V111" s="19">
        <v>57</v>
      </c>
      <c r="W111" s="19">
        <v>189</v>
      </c>
      <c r="X111" s="19">
        <v>78</v>
      </c>
      <c r="Y111" s="19">
        <v>125</v>
      </c>
      <c r="Z111" s="19">
        <v>276</v>
      </c>
      <c r="AA111" s="19">
        <v>0</v>
      </c>
      <c r="AB111" s="19">
        <v>140</v>
      </c>
      <c r="AC111" s="19">
        <v>4480</v>
      </c>
      <c r="AD111" s="19">
        <v>65342.651538461541</v>
      </c>
      <c r="AE111" s="19">
        <v>15499.79</v>
      </c>
      <c r="AF111" s="19">
        <v>4439.3999999999996</v>
      </c>
      <c r="AG111" s="19">
        <v>3745</v>
      </c>
      <c r="AH111" s="19">
        <v>31658.461538461539</v>
      </c>
      <c r="AI111" s="19">
        <v>10000</v>
      </c>
      <c r="AJ111" s="19">
        <v>0</v>
      </c>
      <c r="AK111" s="19">
        <v>41344</v>
      </c>
      <c r="AL111" s="19">
        <v>12916</v>
      </c>
      <c r="AM111" s="19">
        <v>4815</v>
      </c>
      <c r="AN111" s="19">
        <v>992</v>
      </c>
      <c r="AO111" s="19">
        <v>22621</v>
      </c>
      <c r="AP111" s="19">
        <v>0</v>
      </c>
      <c r="AQ111" s="19">
        <v>0</v>
      </c>
      <c r="AR111" s="19">
        <v>85906</v>
      </c>
      <c r="AS111" s="19">
        <v>3745</v>
      </c>
      <c r="AT111" s="19">
        <v>673</v>
      </c>
      <c r="AU111" s="19">
        <v>521</v>
      </c>
      <c r="AV111" s="19">
        <v>430</v>
      </c>
      <c r="AW111" s="19">
        <v>16761</v>
      </c>
      <c r="AX111" s="19">
        <v>702</v>
      </c>
      <c r="AY111" s="19">
        <v>0</v>
      </c>
      <c r="AZ111" s="19">
        <v>114</v>
      </c>
      <c r="BA111" s="19">
        <v>11</v>
      </c>
      <c r="BB111" s="19">
        <v>6</v>
      </c>
      <c r="BC111" s="19">
        <v>2</v>
      </c>
      <c r="BD111" s="19">
        <v>133</v>
      </c>
      <c r="BE111" s="19">
        <v>0</v>
      </c>
      <c r="BF111" s="19">
        <v>34</v>
      </c>
      <c r="BG111" s="19">
        <v>1</v>
      </c>
      <c r="BH111" s="19">
        <v>389</v>
      </c>
      <c r="BI111" s="19">
        <v>7</v>
      </c>
      <c r="BJ111" s="19">
        <v>0</v>
      </c>
      <c r="BK111" s="19">
        <v>0</v>
      </c>
      <c r="BL111" s="19">
        <v>3678</v>
      </c>
      <c r="BM111" s="19">
        <v>86</v>
      </c>
      <c r="BN111" s="19">
        <v>0</v>
      </c>
      <c r="BO111" s="19">
        <v>26</v>
      </c>
      <c r="BP111" s="19">
        <v>1</v>
      </c>
      <c r="BQ111" s="19">
        <v>0</v>
      </c>
      <c r="BR111" s="19">
        <v>1</v>
      </c>
      <c r="BS111" s="19">
        <v>1</v>
      </c>
      <c r="BT111" s="19">
        <v>0</v>
      </c>
      <c r="BU111" s="19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H111" s="19">
        <v>0</v>
      </c>
      <c r="CI111" s="19">
        <v>0</v>
      </c>
      <c r="CJ111" s="19">
        <v>0</v>
      </c>
      <c r="CK111" s="19">
        <v>0</v>
      </c>
      <c r="CL111" s="19">
        <v>0</v>
      </c>
      <c r="CM111" s="19">
        <v>0</v>
      </c>
      <c r="CN111" s="19">
        <v>0</v>
      </c>
      <c r="CO111" s="19">
        <v>0</v>
      </c>
      <c r="CP111" s="19">
        <v>0</v>
      </c>
      <c r="CQ111" s="19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19">
        <v>0</v>
      </c>
      <c r="CZ111" s="19">
        <v>0</v>
      </c>
      <c r="DA111" s="19">
        <v>0</v>
      </c>
      <c r="DB111" s="19">
        <v>0</v>
      </c>
      <c r="DC111" s="19">
        <v>0</v>
      </c>
      <c r="DD111" s="19">
        <v>1</v>
      </c>
      <c r="DE111" s="19">
        <v>0</v>
      </c>
      <c r="DF111" s="19">
        <v>0</v>
      </c>
      <c r="DG111" s="19">
        <v>0</v>
      </c>
      <c r="DH111" s="19">
        <v>1</v>
      </c>
      <c r="DI111" s="19">
        <v>0</v>
      </c>
      <c r="DJ111" s="21">
        <v>40119</v>
      </c>
      <c r="DK111" s="19">
        <v>33737434</v>
      </c>
      <c r="DL111" s="19">
        <v>18230829</v>
      </c>
      <c r="DM111" s="19">
        <v>3000000</v>
      </c>
      <c r="DN111" s="19">
        <v>2434089</v>
      </c>
      <c r="DO111" s="19">
        <v>12794</v>
      </c>
      <c r="DP111" s="19">
        <v>723044</v>
      </c>
      <c r="DQ111" s="19">
        <v>639303</v>
      </c>
      <c r="DR111" s="19">
        <v>8496644</v>
      </c>
      <c r="DS111" s="19">
        <v>200731</v>
      </c>
      <c r="DT111" s="22">
        <v>0.21</v>
      </c>
    </row>
    <row r="112" spans="1:124" x14ac:dyDescent="0.35">
      <c r="A112" s="19" t="s">
        <v>206</v>
      </c>
      <c r="B112" s="19" t="s">
        <v>236</v>
      </c>
      <c r="C112" s="19">
        <v>1250839.8434159977</v>
      </c>
      <c r="D112" s="19">
        <v>200134.37494655963</v>
      </c>
      <c r="E112" s="20">
        <v>1919090</v>
      </c>
      <c r="F112" s="19">
        <v>0</v>
      </c>
      <c r="G112" s="19">
        <v>16954</v>
      </c>
      <c r="H112" s="19">
        <v>0</v>
      </c>
      <c r="I112" s="19">
        <v>1779143</v>
      </c>
      <c r="J112" s="19">
        <v>0</v>
      </c>
      <c r="K112" s="19">
        <v>51</v>
      </c>
      <c r="L112" s="19">
        <v>21</v>
      </c>
      <c r="M112" s="19">
        <v>17480</v>
      </c>
      <c r="N112" s="19">
        <v>555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280</v>
      </c>
      <c r="U112" s="19">
        <v>104456</v>
      </c>
      <c r="V112" s="19">
        <v>0</v>
      </c>
      <c r="W112" s="19">
        <v>71</v>
      </c>
      <c r="X112" s="19">
        <v>2</v>
      </c>
      <c r="Y112" s="19">
        <v>65</v>
      </c>
      <c r="Z112" s="19">
        <v>12</v>
      </c>
      <c r="AA112" s="19">
        <v>0</v>
      </c>
      <c r="AB112" s="19">
        <v>0</v>
      </c>
      <c r="AC112" s="19">
        <v>0</v>
      </c>
      <c r="AD112" s="19">
        <v>30999.506923076922</v>
      </c>
      <c r="AE112" s="19">
        <v>17791.43</v>
      </c>
      <c r="AF112" s="19">
        <v>3496</v>
      </c>
      <c r="AG112" s="19">
        <v>1677</v>
      </c>
      <c r="AH112" s="19">
        <v>8035.0769230769229</v>
      </c>
      <c r="AI112" s="19">
        <v>0</v>
      </c>
      <c r="AJ112" s="19">
        <v>0</v>
      </c>
      <c r="AK112" s="19">
        <v>27384</v>
      </c>
      <c r="AL112" s="19">
        <v>14826</v>
      </c>
      <c r="AM112" s="19">
        <v>3844</v>
      </c>
      <c r="AN112" s="19">
        <v>2018</v>
      </c>
      <c r="AO112" s="19">
        <v>6696</v>
      </c>
      <c r="AP112" s="19">
        <v>0</v>
      </c>
      <c r="AQ112" s="19">
        <v>0</v>
      </c>
      <c r="AR112" s="19">
        <v>7224</v>
      </c>
      <c r="AS112" s="19">
        <v>1677</v>
      </c>
      <c r="AT112" s="19">
        <v>86</v>
      </c>
      <c r="AU112" s="19">
        <v>18</v>
      </c>
      <c r="AV112" s="19">
        <v>6</v>
      </c>
      <c r="AW112" s="19">
        <v>6601</v>
      </c>
      <c r="AX112" s="19">
        <v>18</v>
      </c>
      <c r="AY112" s="19">
        <v>0</v>
      </c>
      <c r="AZ112" s="19">
        <v>14</v>
      </c>
      <c r="BA112" s="19">
        <v>42</v>
      </c>
      <c r="BB112" s="19">
        <v>10</v>
      </c>
      <c r="BC112" s="19">
        <v>9</v>
      </c>
      <c r="BD112" s="19">
        <v>75</v>
      </c>
      <c r="BE112" s="19">
        <v>0</v>
      </c>
      <c r="BF112" s="19">
        <v>42</v>
      </c>
      <c r="BG112" s="19">
        <v>2</v>
      </c>
      <c r="BH112" s="19">
        <v>378</v>
      </c>
      <c r="BI112" s="19">
        <v>108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1</v>
      </c>
      <c r="BS112" s="19">
        <v>1</v>
      </c>
      <c r="BT112" s="19">
        <v>0</v>
      </c>
      <c r="BU112" s="19">
        <v>0</v>
      </c>
      <c r="BV112" s="19">
        <v>0</v>
      </c>
      <c r="BW112" s="19">
        <v>0</v>
      </c>
      <c r="BX112" s="19">
        <v>0</v>
      </c>
      <c r="BY112" s="19">
        <v>0</v>
      </c>
      <c r="BZ112" s="19">
        <v>0</v>
      </c>
      <c r="CA112" s="19">
        <v>0</v>
      </c>
      <c r="CB112" s="19">
        <v>0</v>
      </c>
      <c r="CC112" s="19">
        <v>0</v>
      </c>
      <c r="CD112" s="19">
        <v>0</v>
      </c>
      <c r="CE112" s="19">
        <v>0</v>
      </c>
      <c r="CF112" s="19">
        <v>0</v>
      </c>
      <c r="CG112" s="19">
        <v>0</v>
      </c>
      <c r="CH112" s="19">
        <v>0</v>
      </c>
      <c r="CI112" s="19">
        <v>0</v>
      </c>
      <c r="CJ112" s="19">
        <v>0</v>
      </c>
      <c r="CK112" s="19">
        <v>0</v>
      </c>
      <c r="CL112" s="19">
        <v>0</v>
      </c>
      <c r="CM112" s="19">
        <v>0</v>
      </c>
      <c r="CN112" s="19">
        <v>0</v>
      </c>
      <c r="CO112" s="19">
        <v>0</v>
      </c>
      <c r="CP112" s="19">
        <v>0</v>
      </c>
      <c r="CQ112" s="19">
        <v>0</v>
      </c>
      <c r="CR112" s="19">
        <v>0</v>
      </c>
      <c r="CS112" s="19">
        <v>0</v>
      </c>
      <c r="CT112" s="19">
        <v>0</v>
      </c>
      <c r="CU112" s="19">
        <v>0</v>
      </c>
      <c r="CV112" s="19">
        <v>0</v>
      </c>
      <c r="CW112" s="19">
        <v>0</v>
      </c>
      <c r="CX112" s="19">
        <v>0</v>
      </c>
      <c r="CY112" s="19">
        <v>0</v>
      </c>
      <c r="CZ112" s="19">
        <v>0</v>
      </c>
      <c r="DA112" s="19">
        <v>0</v>
      </c>
      <c r="DB112" s="19">
        <v>0</v>
      </c>
      <c r="DC112" s="19">
        <v>0</v>
      </c>
      <c r="DD112" s="19">
        <v>0</v>
      </c>
      <c r="DE112" s="19">
        <v>0</v>
      </c>
      <c r="DF112" s="19">
        <v>0</v>
      </c>
      <c r="DG112" s="19">
        <v>0</v>
      </c>
      <c r="DH112" s="19">
        <v>1</v>
      </c>
      <c r="DI112" s="19">
        <v>0</v>
      </c>
      <c r="DJ112" s="21">
        <v>40223</v>
      </c>
      <c r="DK112" s="19">
        <v>31697775</v>
      </c>
      <c r="DL112" s="19">
        <v>26706546</v>
      </c>
      <c r="DM112" s="19">
        <v>0</v>
      </c>
      <c r="DN112" s="19">
        <v>2083936</v>
      </c>
      <c r="DO112" s="19">
        <v>53756</v>
      </c>
      <c r="DP112" s="19">
        <v>191343</v>
      </c>
      <c r="DQ112" s="19">
        <v>0</v>
      </c>
      <c r="DR112" s="19">
        <v>2296166</v>
      </c>
      <c r="DS112" s="19">
        <v>366028</v>
      </c>
      <c r="DT112" s="22">
        <v>0.26</v>
      </c>
    </row>
    <row r="113" spans="1:124" x14ac:dyDescent="0.35">
      <c r="A113" s="19" t="s">
        <v>237</v>
      </c>
      <c r="B113" s="19" t="s">
        <v>238</v>
      </c>
      <c r="C113" s="19">
        <v>447563.94252062502</v>
      </c>
      <c r="D113" s="19">
        <v>71610.230803300001</v>
      </c>
      <c r="E113" s="20">
        <v>9608</v>
      </c>
      <c r="F113" s="19">
        <v>0</v>
      </c>
      <c r="G113" s="19">
        <v>0</v>
      </c>
      <c r="H113" s="19">
        <v>0</v>
      </c>
      <c r="I113" s="19">
        <v>7974</v>
      </c>
      <c r="J113" s="19">
        <v>0</v>
      </c>
      <c r="K113" s="19">
        <v>0</v>
      </c>
      <c r="L113" s="19">
        <v>0</v>
      </c>
      <c r="M113" s="19">
        <v>491</v>
      </c>
      <c r="N113" s="19">
        <v>552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571</v>
      </c>
      <c r="V113" s="19">
        <v>0</v>
      </c>
      <c r="W113" s="19">
        <v>0</v>
      </c>
      <c r="X113" s="19">
        <v>0</v>
      </c>
      <c r="Y113" s="19">
        <v>0</v>
      </c>
      <c r="Z113" s="19">
        <v>20</v>
      </c>
      <c r="AA113" s="19">
        <v>0</v>
      </c>
      <c r="AB113" s="19">
        <v>0</v>
      </c>
      <c r="AC113" s="19">
        <v>0</v>
      </c>
      <c r="AD113" s="19">
        <v>221.8630769230769</v>
      </c>
      <c r="AE113" s="19">
        <v>79.739999999999995</v>
      </c>
      <c r="AF113" s="19">
        <v>98.2</v>
      </c>
      <c r="AG113" s="19">
        <v>0</v>
      </c>
      <c r="AH113" s="19">
        <v>43.92307692307692</v>
      </c>
      <c r="AI113" s="19">
        <v>0</v>
      </c>
      <c r="AJ113" s="19">
        <v>0</v>
      </c>
      <c r="AK113" s="19">
        <v>2344</v>
      </c>
      <c r="AL113" s="19">
        <v>66</v>
      </c>
      <c r="AM113" s="19">
        <v>109</v>
      </c>
      <c r="AN113" s="19">
        <v>2133</v>
      </c>
      <c r="AO113" s="19">
        <v>36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1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  <c r="CM113" s="19">
        <v>0</v>
      </c>
      <c r="CN113" s="19">
        <v>0</v>
      </c>
      <c r="CO113" s="19">
        <v>0</v>
      </c>
      <c r="CP113" s="19">
        <v>0</v>
      </c>
      <c r="CQ113" s="19">
        <v>0</v>
      </c>
      <c r="CR113" s="19">
        <v>0</v>
      </c>
      <c r="CS113" s="19">
        <v>0</v>
      </c>
      <c r="CT113" s="19">
        <v>0</v>
      </c>
      <c r="CU113" s="19">
        <v>0</v>
      </c>
      <c r="CV113" s="19">
        <v>0</v>
      </c>
      <c r="CW113" s="19">
        <v>0</v>
      </c>
      <c r="CX113" s="19">
        <v>0</v>
      </c>
      <c r="CY113" s="19">
        <v>0</v>
      </c>
      <c r="CZ113" s="19">
        <v>0</v>
      </c>
      <c r="DA113" s="19">
        <v>0</v>
      </c>
      <c r="DB113" s="19">
        <v>0</v>
      </c>
      <c r="DC113" s="19">
        <v>0</v>
      </c>
      <c r="DD113" s="19">
        <v>0</v>
      </c>
      <c r="DE113" s="19">
        <v>0</v>
      </c>
      <c r="DF113" s="19">
        <v>0</v>
      </c>
      <c r="DG113" s="19">
        <v>0</v>
      </c>
      <c r="DH113" s="19">
        <v>0</v>
      </c>
      <c r="DI113" s="19">
        <v>0</v>
      </c>
      <c r="DJ113" s="21">
        <v>60804</v>
      </c>
      <c r="DK113" s="19">
        <v>146966</v>
      </c>
      <c r="DL113" s="19">
        <v>40715</v>
      </c>
      <c r="DM113" s="19">
        <v>0</v>
      </c>
      <c r="DN113" s="19">
        <v>37861</v>
      </c>
      <c r="DO113" s="19">
        <v>57600</v>
      </c>
      <c r="DP113" s="19">
        <v>2557</v>
      </c>
      <c r="DQ113" s="19">
        <v>0</v>
      </c>
      <c r="DR113" s="19">
        <v>8233</v>
      </c>
      <c r="DS113" s="19">
        <v>0</v>
      </c>
      <c r="DT113" s="22">
        <v>0.38</v>
      </c>
    </row>
    <row r="114" spans="1:124" x14ac:dyDescent="0.35">
      <c r="A114" s="19" t="s">
        <v>237</v>
      </c>
      <c r="B114" s="19" t="s">
        <v>239</v>
      </c>
      <c r="C114" s="19">
        <v>501487.30908937502</v>
      </c>
      <c r="D114" s="19">
        <v>80237.969454300008</v>
      </c>
      <c r="E114" s="20">
        <v>12994</v>
      </c>
      <c r="F114" s="19">
        <v>0</v>
      </c>
      <c r="G114" s="19">
        <v>112</v>
      </c>
      <c r="H114" s="19">
        <v>0</v>
      </c>
      <c r="I114" s="19">
        <v>6842</v>
      </c>
      <c r="J114" s="19">
        <v>0</v>
      </c>
      <c r="K114" s="19">
        <v>2</v>
      </c>
      <c r="L114" s="19">
        <v>0</v>
      </c>
      <c r="M114" s="19">
        <v>1379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4617</v>
      </c>
      <c r="V114" s="19">
        <v>0</v>
      </c>
      <c r="W114" s="19">
        <v>0</v>
      </c>
      <c r="X114" s="19">
        <v>0</v>
      </c>
      <c r="Y114" s="19">
        <v>42</v>
      </c>
      <c r="Z114" s="19">
        <v>0</v>
      </c>
      <c r="AA114" s="19">
        <v>0</v>
      </c>
      <c r="AB114" s="19">
        <v>0</v>
      </c>
      <c r="AC114" s="19">
        <v>0</v>
      </c>
      <c r="AD114" s="19">
        <v>699.37384615384622</v>
      </c>
      <c r="AE114" s="19">
        <v>68.42</v>
      </c>
      <c r="AF114" s="19">
        <v>275.8</v>
      </c>
      <c r="AG114" s="19">
        <v>0</v>
      </c>
      <c r="AH114" s="19">
        <v>355.15384615384613</v>
      </c>
      <c r="AI114" s="19">
        <v>0</v>
      </c>
      <c r="AJ114" s="19">
        <v>0</v>
      </c>
      <c r="AK114" s="19">
        <v>627</v>
      </c>
      <c r="AL114" s="19">
        <v>58</v>
      </c>
      <c r="AM114" s="19">
        <v>312</v>
      </c>
      <c r="AN114" s="19">
        <v>0</v>
      </c>
      <c r="AO114" s="19">
        <v>257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11</v>
      </c>
      <c r="BI114" s="19">
        <v>4</v>
      </c>
      <c r="BJ114" s="19">
        <v>0</v>
      </c>
      <c r="BK114" s="19">
        <v>0</v>
      </c>
      <c r="BL114" s="19">
        <v>0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>
        <v>0</v>
      </c>
      <c r="BW114" s="19">
        <v>1</v>
      </c>
      <c r="BX114" s="19">
        <v>0</v>
      </c>
      <c r="BY114" s="19">
        <v>0</v>
      </c>
      <c r="BZ114" s="19">
        <v>0</v>
      </c>
      <c r="CA114" s="19">
        <v>0</v>
      </c>
      <c r="CB114" s="19">
        <v>0</v>
      </c>
      <c r="CC114" s="19">
        <v>0</v>
      </c>
      <c r="CD114" s="19">
        <v>0</v>
      </c>
      <c r="CE114" s="19">
        <v>0</v>
      </c>
      <c r="CF114" s="19">
        <v>0</v>
      </c>
      <c r="CG114" s="19">
        <v>0</v>
      </c>
      <c r="CH114" s="19">
        <v>0</v>
      </c>
      <c r="CI114" s="19">
        <v>0</v>
      </c>
      <c r="CJ114" s="19">
        <v>0</v>
      </c>
      <c r="CK114" s="19">
        <v>0</v>
      </c>
      <c r="CL114" s="19">
        <v>0</v>
      </c>
      <c r="CM114" s="19">
        <v>0</v>
      </c>
      <c r="CN114" s="19">
        <v>0</v>
      </c>
      <c r="CO114" s="19">
        <v>0</v>
      </c>
      <c r="CP114" s="19">
        <v>0</v>
      </c>
      <c r="CQ114" s="19">
        <v>0</v>
      </c>
      <c r="CR114" s="19">
        <v>0</v>
      </c>
      <c r="CS114" s="19">
        <v>0</v>
      </c>
      <c r="CT114" s="19">
        <v>0</v>
      </c>
      <c r="CU114" s="19">
        <v>0</v>
      </c>
      <c r="CV114" s="19">
        <v>0</v>
      </c>
      <c r="CW114" s="19">
        <v>0</v>
      </c>
      <c r="CX114" s="19">
        <v>0</v>
      </c>
      <c r="CY114" s="19">
        <v>0</v>
      </c>
      <c r="CZ114" s="19">
        <v>0</v>
      </c>
      <c r="DA114" s="19">
        <v>0</v>
      </c>
      <c r="DB114" s="19">
        <v>0</v>
      </c>
      <c r="DC114" s="19">
        <v>0</v>
      </c>
      <c r="DD114" s="19">
        <v>0</v>
      </c>
      <c r="DE114" s="19">
        <v>0</v>
      </c>
      <c r="DF114" s="19">
        <v>0</v>
      </c>
      <c r="DG114" s="19">
        <v>0</v>
      </c>
      <c r="DH114" s="19">
        <v>0</v>
      </c>
      <c r="DI114" s="19">
        <v>0</v>
      </c>
      <c r="DJ114" s="21">
        <v>60808</v>
      </c>
      <c r="DK114" s="19">
        <v>357553</v>
      </c>
      <c r="DL114" s="19">
        <v>106659</v>
      </c>
      <c r="DM114" s="19">
        <v>0</v>
      </c>
      <c r="DN114" s="19">
        <v>152522</v>
      </c>
      <c r="DO114" s="19">
        <v>0</v>
      </c>
      <c r="DP114" s="19">
        <v>14450</v>
      </c>
      <c r="DQ114" s="19">
        <v>0</v>
      </c>
      <c r="DR114" s="19">
        <v>81466</v>
      </c>
      <c r="DS114" s="19">
        <v>2456</v>
      </c>
      <c r="DT114" s="22">
        <v>0.45</v>
      </c>
    </row>
    <row r="115" spans="1:124" x14ac:dyDescent="0.35">
      <c r="A115" s="19" t="s">
        <v>237</v>
      </c>
      <c r="B115" s="19" t="s">
        <v>240</v>
      </c>
      <c r="C115" s="19">
        <v>269616.83284375002</v>
      </c>
      <c r="D115" s="19">
        <v>43138.693255000006</v>
      </c>
      <c r="E115" s="20">
        <v>153996</v>
      </c>
      <c r="F115" s="19">
        <v>0</v>
      </c>
      <c r="G115" s="19">
        <v>0</v>
      </c>
      <c r="H115" s="19">
        <v>0</v>
      </c>
      <c r="I115" s="19">
        <v>150033</v>
      </c>
      <c r="J115" s="19">
        <v>2</v>
      </c>
      <c r="K115" s="19">
        <v>1</v>
      </c>
      <c r="L115" s="19">
        <v>0</v>
      </c>
      <c r="M115" s="19">
        <v>577</v>
      </c>
      <c r="N115" s="19">
        <v>503</v>
      </c>
      <c r="O115" s="19">
        <v>0</v>
      </c>
      <c r="P115" s="19">
        <v>2</v>
      </c>
      <c r="Q115" s="19">
        <v>0</v>
      </c>
      <c r="R115" s="19">
        <v>0</v>
      </c>
      <c r="S115" s="19">
        <v>3</v>
      </c>
      <c r="T115" s="19">
        <v>0</v>
      </c>
      <c r="U115" s="19">
        <v>2380</v>
      </c>
      <c r="V115" s="19">
        <v>0</v>
      </c>
      <c r="W115" s="19">
        <v>10</v>
      </c>
      <c r="X115" s="19">
        <v>0</v>
      </c>
      <c r="Y115" s="19">
        <v>440</v>
      </c>
      <c r="Z115" s="19">
        <v>45</v>
      </c>
      <c r="AA115" s="19">
        <v>0</v>
      </c>
      <c r="AB115" s="19">
        <v>0</v>
      </c>
      <c r="AC115" s="19">
        <v>0</v>
      </c>
      <c r="AD115" s="19">
        <v>1798.8069230769231</v>
      </c>
      <c r="AE115" s="19">
        <v>1500.33</v>
      </c>
      <c r="AF115" s="19">
        <v>115.4</v>
      </c>
      <c r="AG115" s="19">
        <v>0</v>
      </c>
      <c r="AH115" s="19">
        <v>183.07692307692307</v>
      </c>
      <c r="AI115" s="19">
        <v>0</v>
      </c>
      <c r="AJ115" s="19">
        <v>0</v>
      </c>
      <c r="AK115" s="19">
        <v>3326</v>
      </c>
      <c r="AL115" s="19">
        <v>1250</v>
      </c>
      <c r="AM115" s="19">
        <v>137</v>
      </c>
      <c r="AN115" s="19">
        <v>1778</v>
      </c>
      <c r="AO115" s="19">
        <v>161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77</v>
      </c>
      <c r="BI115" s="19">
        <v>3</v>
      </c>
      <c r="BJ115" s="19">
        <v>0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19">
        <v>0</v>
      </c>
      <c r="CF115" s="19">
        <v>0</v>
      </c>
      <c r="CG115" s="19">
        <v>0</v>
      </c>
      <c r="CH115" s="19">
        <v>0</v>
      </c>
      <c r="CI115" s="19">
        <v>0</v>
      </c>
      <c r="CJ115" s="19">
        <v>0</v>
      </c>
      <c r="CK115" s="19">
        <v>0</v>
      </c>
      <c r="CL115" s="19">
        <v>0</v>
      </c>
      <c r="CM115" s="19">
        <v>0</v>
      </c>
      <c r="CN115" s="19">
        <v>0</v>
      </c>
      <c r="CO115" s="19">
        <v>0</v>
      </c>
      <c r="CP115" s="19">
        <v>0</v>
      </c>
      <c r="CQ115" s="19">
        <v>0</v>
      </c>
      <c r="CR115" s="19">
        <v>0</v>
      </c>
      <c r="CS115" s="19">
        <v>0</v>
      </c>
      <c r="CT115" s="19">
        <v>0</v>
      </c>
      <c r="CU115" s="19">
        <v>0</v>
      </c>
      <c r="CV115" s="19">
        <v>0</v>
      </c>
      <c r="CW115" s="19">
        <v>0</v>
      </c>
      <c r="CX115" s="19">
        <v>0</v>
      </c>
      <c r="CY115" s="19">
        <v>0</v>
      </c>
      <c r="CZ115" s="19">
        <v>0</v>
      </c>
      <c r="DA115" s="19">
        <v>0</v>
      </c>
      <c r="DB115" s="19">
        <v>0</v>
      </c>
      <c r="DC115" s="19">
        <v>0</v>
      </c>
      <c r="DD115" s="19">
        <v>0</v>
      </c>
      <c r="DE115" s="19">
        <v>0</v>
      </c>
      <c r="DF115" s="19">
        <v>0</v>
      </c>
      <c r="DG115" s="19">
        <v>0</v>
      </c>
      <c r="DH115" s="19">
        <v>0</v>
      </c>
      <c r="DI115" s="19">
        <v>0</v>
      </c>
      <c r="DJ115" s="21">
        <v>60801</v>
      </c>
      <c r="DK115" s="19">
        <v>1486469</v>
      </c>
      <c r="DL115" s="19">
        <v>1155058</v>
      </c>
      <c r="DM115" s="19">
        <v>0</v>
      </c>
      <c r="DN115" s="19">
        <v>68101</v>
      </c>
      <c r="DO115" s="19">
        <v>54600</v>
      </c>
      <c r="DP115" s="19">
        <v>156670</v>
      </c>
      <c r="DQ115" s="19">
        <v>1496</v>
      </c>
      <c r="DR115" s="19">
        <v>50544</v>
      </c>
      <c r="DS115" s="19">
        <v>0</v>
      </c>
      <c r="DT115" s="22">
        <v>0.28000000000000003</v>
      </c>
    </row>
    <row r="116" spans="1:124" x14ac:dyDescent="0.35">
      <c r="A116" s="19" t="s">
        <v>237</v>
      </c>
      <c r="B116" s="19" t="s">
        <v>241</v>
      </c>
      <c r="C116" s="19">
        <v>171476.305688625</v>
      </c>
      <c r="D116" s="19">
        <v>27436.208910180001</v>
      </c>
      <c r="E116" s="20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>
        <v>0</v>
      </c>
      <c r="BW116" s="19">
        <v>0</v>
      </c>
      <c r="BX116" s="19">
        <v>0</v>
      </c>
      <c r="BY116" s="19">
        <v>0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  <c r="CM116" s="19">
        <v>0</v>
      </c>
      <c r="CN116" s="19">
        <v>0</v>
      </c>
      <c r="CO116" s="19">
        <v>0</v>
      </c>
      <c r="CP116" s="19">
        <v>0</v>
      </c>
      <c r="CQ116" s="19">
        <v>0</v>
      </c>
      <c r="CR116" s="19">
        <v>0</v>
      </c>
      <c r="CS116" s="19">
        <v>0</v>
      </c>
      <c r="CT116" s="19">
        <v>0</v>
      </c>
      <c r="CU116" s="19">
        <v>0</v>
      </c>
      <c r="CV116" s="19">
        <v>0</v>
      </c>
      <c r="CW116" s="19">
        <v>0</v>
      </c>
      <c r="CX116" s="19">
        <v>0</v>
      </c>
      <c r="CY116" s="19">
        <v>0</v>
      </c>
      <c r="CZ116" s="19">
        <v>0</v>
      </c>
      <c r="DA116" s="19">
        <v>0</v>
      </c>
      <c r="DB116" s="19">
        <v>0</v>
      </c>
      <c r="DC116" s="19">
        <v>0</v>
      </c>
      <c r="DD116" s="19">
        <v>0</v>
      </c>
      <c r="DE116" s="19">
        <v>0</v>
      </c>
      <c r="DF116" s="19">
        <v>0</v>
      </c>
      <c r="DG116" s="19">
        <v>0</v>
      </c>
      <c r="DH116" s="19">
        <v>0</v>
      </c>
      <c r="DI116" s="19">
        <v>0</v>
      </c>
      <c r="DJ116" s="21">
        <v>60811</v>
      </c>
      <c r="DK116" s="19">
        <v>0</v>
      </c>
      <c r="DL116" s="19">
        <v>0</v>
      </c>
      <c r="DM116" s="19">
        <v>0</v>
      </c>
      <c r="DN116" s="19">
        <v>0</v>
      </c>
      <c r="DO116" s="19">
        <v>0</v>
      </c>
      <c r="DP116" s="19">
        <v>0</v>
      </c>
      <c r="DQ116" s="19">
        <v>0</v>
      </c>
      <c r="DR116" s="19">
        <v>0</v>
      </c>
      <c r="DS116" s="19">
        <v>0</v>
      </c>
      <c r="DT116" s="22">
        <v>0.27</v>
      </c>
    </row>
    <row r="117" spans="1:124" x14ac:dyDescent="0.35">
      <c r="A117" s="19" t="s">
        <v>237</v>
      </c>
      <c r="B117" s="19" t="s">
        <v>242</v>
      </c>
      <c r="C117" s="19">
        <v>923168.03565699991</v>
      </c>
      <c r="D117" s="19">
        <v>147706.88570511999</v>
      </c>
      <c r="E117" s="20">
        <v>31764</v>
      </c>
      <c r="F117" s="19">
        <v>0</v>
      </c>
      <c r="G117" s="19">
        <v>0</v>
      </c>
      <c r="H117" s="19">
        <v>0</v>
      </c>
      <c r="I117" s="19">
        <v>26180</v>
      </c>
      <c r="J117" s="19">
        <v>0</v>
      </c>
      <c r="K117" s="19">
        <v>0</v>
      </c>
      <c r="L117" s="19">
        <v>0</v>
      </c>
      <c r="M117" s="19">
        <v>2490</v>
      </c>
      <c r="N117" s="19">
        <v>19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3073</v>
      </c>
      <c r="V117" s="19">
        <v>0</v>
      </c>
      <c r="W117" s="19">
        <v>0</v>
      </c>
      <c r="X117" s="19">
        <v>0</v>
      </c>
      <c r="Y117" s="19">
        <v>2</v>
      </c>
      <c r="Z117" s="19">
        <v>0</v>
      </c>
      <c r="AA117" s="19">
        <v>0</v>
      </c>
      <c r="AB117" s="19">
        <v>0</v>
      </c>
      <c r="AC117" s="19">
        <v>0</v>
      </c>
      <c r="AD117" s="19">
        <v>996.18461538461531</v>
      </c>
      <c r="AE117" s="19">
        <v>261.8</v>
      </c>
      <c r="AF117" s="19">
        <v>498</v>
      </c>
      <c r="AG117" s="19">
        <v>0</v>
      </c>
      <c r="AH117" s="19">
        <v>236.38461538461539</v>
      </c>
      <c r="AI117" s="19">
        <v>0</v>
      </c>
      <c r="AJ117" s="19">
        <v>0</v>
      </c>
      <c r="AK117" s="19">
        <v>1026</v>
      </c>
      <c r="AL117" s="19">
        <v>218</v>
      </c>
      <c r="AM117" s="19">
        <v>546</v>
      </c>
      <c r="AN117" s="19">
        <v>72</v>
      </c>
      <c r="AO117" s="19">
        <v>190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1</v>
      </c>
      <c r="BA117" s="19">
        <v>2</v>
      </c>
      <c r="BB117" s="19">
        <v>0</v>
      </c>
      <c r="BC117" s="19">
        <v>0</v>
      </c>
      <c r="BD117" s="19">
        <v>3</v>
      </c>
      <c r="BE117" s="19">
        <v>0</v>
      </c>
      <c r="BF117" s="19">
        <v>1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>
        <v>0</v>
      </c>
      <c r="BW117" s="19">
        <v>1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</v>
      </c>
      <c r="CD117" s="19">
        <v>0</v>
      </c>
      <c r="CE117" s="19">
        <v>0</v>
      </c>
      <c r="CF117" s="19">
        <v>0</v>
      </c>
      <c r="CG117" s="19">
        <v>0</v>
      </c>
      <c r="CH117" s="19">
        <v>0</v>
      </c>
      <c r="CI117" s="19">
        <v>0</v>
      </c>
      <c r="CJ117" s="19">
        <v>0</v>
      </c>
      <c r="CK117" s="19">
        <v>0</v>
      </c>
      <c r="CL117" s="19">
        <v>0</v>
      </c>
      <c r="CM117" s="19">
        <v>0</v>
      </c>
      <c r="CN117" s="19">
        <v>0</v>
      </c>
      <c r="CO117" s="19">
        <v>0</v>
      </c>
      <c r="CP117" s="19">
        <v>0</v>
      </c>
      <c r="CQ117" s="19">
        <v>0</v>
      </c>
      <c r="CR117" s="19">
        <v>0</v>
      </c>
      <c r="CS117" s="19">
        <v>0</v>
      </c>
      <c r="CT117" s="19">
        <v>0</v>
      </c>
      <c r="CU117" s="19">
        <v>0</v>
      </c>
      <c r="CV117" s="19">
        <v>0</v>
      </c>
      <c r="CW117" s="19">
        <v>0</v>
      </c>
      <c r="CX117" s="19">
        <v>0</v>
      </c>
      <c r="CY117" s="19">
        <v>0</v>
      </c>
      <c r="CZ117" s="19">
        <v>0</v>
      </c>
      <c r="DA117" s="19">
        <v>0</v>
      </c>
      <c r="DB117" s="19">
        <v>0</v>
      </c>
      <c r="DC117" s="19">
        <v>0</v>
      </c>
      <c r="DD117" s="19">
        <v>0</v>
      </c>
      <c r="DE117" s="19">
        <v>0</v>
      </c>
      <c r="DF117" s="19">
        <v>0</v>
      </c>
      <c r="DG117" s="19">
        <v>0</v>
      </c>
      <c r="DH117" s="19">
        <v>0</v>
      </c>
      <c r="DI117" s="19">
        <v>0</v>
      </c>
      <c r="DJ117" s="21">
        <v>60812</v>
      </c>
      <c r="DK117" s="19">
        <v>463025</v>
      </c>
      <c r="DL117" s="19">
        <v>154606</v>
      </c>
      <c r="DM117" s="19">
        <v>0</v>
      </c>
      <c r="DN117" s="19">
        <v>256215</v>
      </c>
      <c r="DO117" s="19">
        <v>1400</v>
      </c>
      <c r="DP117" s="19">
        <v>595</v>
      </c>
      <c r="DQ117" s="19">
        <v>0</v>
      </c>
      <c r="DR117" s="19">
        <v>50209</v>
      </c>
      <c r="DS117" s="19">
        <v>0</v>
      </c>
      <c r="DT117" s="22">
        <v>0.35</v>
      </c>
    </row>
    <row r="118" spans="1:124" x14ac:dyDescent="0.35">
      <c r="A118" s="19" t="s">
        <v>237</v>
      </c>
      <c r="B118" s="19" t="s">
        <v>243</v>
      </c>
      <c r="C118" s="19">
        <v>544626.00234437501</v>
      </c>
      <c r="D118" s="19">
        <v>87140.160375100008</v>
      </c>
      <c r="E118" s="20">
        <v>3272554</v>
      </c>
      <c r="F118" s="19">
        <v>0</v>
      </c>
      <c r="G118" s="19">
        <v>32446</v>
      </c>
      <c r="H118" s="19">
        <v>4</v>
      </c>
      <c r="I118" s="19">
        <v>3146483</v>
      </c>
      <c r="J118" s="19">
        <v>0</v>
      </c>
      <c r="K118" s="19">
        <v>1037</v>
      </c>
      <c r="L118" s="19">
        <v>112</v>
      </c>
      <c r="M118" s="19">
        <v>23992</v>
      </c>
      <c r="N118" s="19">
        <v>1195</v>
      </c>
      <c r="O118" s="19">
        <v>0</v>
      </c>
      <c r="P118" s="19">
        <v>1</v>
      </c>
      <c r="Q118" s="19">
        <v>0</v>
      </c>
      <c r="R118" s="19">
        <v>24</v>
      </c>
      <c r="S118" s="19">
        <v>4</v>
      </c>
      <c r="T118" s="19">
        <v>280</v>
      </c>
      <c r="U118" s="19">
        <v>62672</v>
      </c>
      <c r="V118" s="19">
        <v>0</v>
      </c>
      <c r="W118" s="19">
        <v>30</v>
      </c>
      <c r="X118" s="19">
        <v>0</v>
      </c>
      <c r="Y118" s="19">
        <v>2369</v>
      </c>
      <c r="Z118" s="19">
        <v>1555</v>
      </c>
      <c r="AA118" s="19">
        <v>0</v>
      </c>
      <c r="AB118" s="19">
        <v>350</v>
      </c>
      <c r="AC118" s="19">
        <v>0</v>
      </c>
      <c r="AD118" s="19">
        <v>41356.153076923081</v>
      </c>
      <c r="AE118" s="19">
        <v>31464.83</v>
      </c>
      <c r="AF118" s="19">
        <v>4798.3999999999996</v>
      </c>
      <c r="AG118" s="19">
        <v>272</v>
      </c>
      <c r="AH118" s="19">
        <v>4820.9230769230771</v>
      </c>
      <c r="AI118" s="19">
        <v>0</v>
      </c>
      <c r="AJ118" s="19">
        <v>0</v>
      </c>
      <c r="AK118" s="19">
        <v>40085</v>
      </c>
      <c r="AL118" s="19">
        <v>26220</v>
      </c>
      <c r="AM118" s="19">
        <v>5425</v>
      </c>
      <c r="AN118" s="19">
        <v>4204</v>
      </c>
      <c r="AO118" s="19">
        <v>4236</v>
      </c>
      <c r="AP118" s="19">
        <v>0</v>
      </c>
      <c r="AQ118" s="19">
        <v>0</v>
      </c>
      <c r="AR118" s="19">
        <v>2676</v>
      </c>
      <c r="AS118" s="19">
        <v>272</v>
      </c>
      <c r="AT118" s="19">
        <v>0</v>
      </c>
      <c r="AU118" s="19">
        <v>0</v>
      </c>
      <c r="AV118" s="19">
        <v>0</v>
      </c>
      <c r="AW118" s="19">
        <v>4121</v>
      </c>
      <c r="AX118" s="19">
        <v>0</v>
      </c>
      <c r="AY118" s="19">
        <v>0</v>
      </c>
      <c r="AZ118" s="19">
        <v>24</v>
      </c>
      <c r="BA118" s="19">
        <v>2</v>
      </c>
      <c r="BB118" s="19">
        <v>0</v>
      </c>
      <c r="BC118" s="19">
        <v>1</v>
      </c>
      <c r="BD118" s="19">
        <v>27</v>
      </c>
      <c r="BE118" s="19">
        <v>0</v>
      </c>
      <c r="BF118" s="19">
        <v>0</v>
      </c>
      <c r="BG118" s="19">
        <v>0</v>
      </c>
      <c r="BH118" s="19">
        <v>355</v>
      </c>
      <c r="BI118" s="19">
        <v>303</v>
      </c>
      <c r="BJ118" s="19">
        <v>0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>
        <v>0</v>
      </c>
      <c r="BW118" s="19">
        <v>1</v>
      </c>
      <c r="BX118" s="19">
        <v>0</v>
      </c>
      <c r="BY118" s="19">
        <v>0</v>
      </c>
      <c r="BZ118" s="19">
        <v>0</v>
      </c>
      <c r="CA118" s="19">
        <v>0</v>
      </c>
      <c r="CB118" s="19">
        <v>0</v>
      </c>
      <c r="CC118" s="19">
        <v>0</v>
      </c>
      <c r="CD118" s="19">
        <v>0</v>
      </c>
      <c r="CE118" s="19">
        <v>0</v>
      </c>
      <c r="CF118" s="19">
        <v>0</v>
      </c>
      <c r="CG118" s="19">
        <v>0</v>
      </c>
      <c r="CH118" s="19">
        <v>0</v>
      </c>
      <c r="CI118" s="19">
        <v>0</v>
      </c>
      <c r="CJ118" s="19">
        <v>0</v>
      </c>
      <c r="CK118" s="19">
        <v>0</v>
      </c>
      <c r="CL118" s="19">
        <v>0</v>
      </c>
      <c r="CM118" s="19">
        <v>0</v>
      </c>
      <c r="CN118" s="19">
        <v>0</v>
      </c>
      <c r="CO118" s="19">
        <v>0</v>
      </c>
      <c r="CP118" s="19">
        <v>0</v>
      </c>
      <c r="CQ118" s="19">
        <v>0</v>
      </c>
      <c r="CR118" s="19">
        <v>0</v>
      </c>
      <c r="CS118" s="19">
        <v>0</v>
      </c>
      <c r="CT118" s="19">
        <v>0</v>
      </c>
      <c r="CU118" s="19">
        <v>0</v>
      </c>
      <c r="CV118" s="19">
        <v>0</v>
      </c>
      <c r="CW118" s="19">
        <v>0</v>
      </c>
      <c r="CX118" s="19">
        <v>0</v>
      </c>
      <c r="CY118" s="19">
        <v>0</v>
      </c>
      <c r="CZ118" s="19">
        <v>0</v>
      </c>
      <c r="DA118" s="19">
        <v>0</v>
      </c>
      <c r="DB118" s="19">
        <v>0</v>
      </c>
      <c r="DC118" s="19">
        <v>0</v>
      </c>
      <c r="DD118" s="19">
        <v>0</v>
      </c>
      <c r="DE118" s="19">
        <v>0</v>
      </c>
      <c r="DF118" s="19">
        <v>0</v>
      </c>
      <c r="DG118" s="19">
        <v>0</v>
      </c>
      <c r="DH118" s="19">
        <v>0</v>
      </c>
      <c r="DI118" s="19">
        <v>0</v>
      </c>
      <c r="DJ118" s="21">
        <v>60810</v>
      </c>
      <c r="DK118" s="19">
        <v>53181266</v>
      </c>
      <c r="DL118" s="19">
        <v>45533691</v>
      </c>
      <c r="DM118" s="19">
        <v>0</v>
      </c>
      <c r="DN118" s="19">
        <v>2741054</v>
      </c>
      <c r="DO118" s="19">
        <v>170750</v>
      </c>
      <c r="DP118" s="19">
        <v>2682049</v>
      </c>
      <c r="DQ118" s="19">
        <v>23609</v>
      </c>
      <c r="DR118" s="19">
        <v>1328495</v>
      </c>
      <c r="DS118" s="19">
        <v>701618</v>
      </c>
      <c r="DT118" s="22">
        <v>0.57999999999999996</v>
      </c>
    </row>
    <row r="119" spans="1:124" x14ac:dyDescent="0.35">
      <c r="A119" s="19" t="s">
        <v>237</v>
      </c>
      <c r="B119" s="19" t="s">
        <v>244</v>
      </c>
      <c r="C119" s="19">
        <v>790516.5538978749</v>
      </c>
      <c r="D119" s="19">
        <v>126482.64862365999</v>
      </c>
      <c r="E119" s="20">
        <v>1171014</v>
      </c>
      <c r="F119" s="19">
        <v>132</v>
      </c>
      <c r="G119" s="19">
        <v>2270</v>
      </c>
      <c r="H119" s="19">
        <v>0</v>
      </c>
      <c r="I119" s="19">
        <v>1119400</v>
      </c>
      <c r="J119" s="19">
        <v>8</v>
      </c>
      <c r="K119" s="19">
        <v>238</v>
      </c>
      <c r="L119" s="19">
        <v>76</v>
      </c>
      <c r="M119" s="19">
        <v>3980</v>
      </c>
      <c r="N119" s="19">
        <v>4742</v>
      </c>
      <c r="O119" s="19">
        <v>0</v>
      </c>
      <c r="P119" s="19">
        <v>62</v>
      </c>
      <c r="Q119" s="19">
        <v>0</v>
      </c>
      <c r="R119" s="19">
        <v>2</v>
      </c>
      <c r="S119" s="19">
        <v>24</v>
      </c>
      <c r="T119" s="19">
        <v>10160</v>
      </c>
      <c r="U119" s="19">
        <v>24259</v>
      </c>
      <c r="V119" s="19">
        <v>9</v>
      </c>
      <c r="W119" s="19">
        <v>109</v>
      </c>
      <c r="X119" s="19">
        <v>0</v>
      </c>
      <c r="Y119" s="19">
        <v>759</v>
      </c>
      <c r="Z119" s="19">
        <v>3166</v>
      </c>
      <c r="AA119" s="19">
        <v>0</v>
      </c>
      <c r="AB119" s="19">
        <v>0</v>
      </c>
      <c r="AC119" s="19">
        <v>1618</v>
      </c>
      <c r="AD119" s="19">
        <v>18649.076923076922</v>
      </c>
      <c r="AE119" s="19">
        <v>11194</v>
      </c>
      <c r="AF119" s="19">
        <v>796</v>
      </c>
      <c r="AG119" s="19">
        <v>4793</v>
      </c>
      <c r="AH119" s="19">
        <v>1866.0769230769231</v>
      </c>
      <c r="AI119" s="19">
        <v>0</v>
      </c>
      <c r="AJ119" s="19">
        <v>0</v>
      </c>
      <c r="AK119" s="19">
        <v>26681</v>
      </c>
      <c r="AL119" s="19">
        <v>7309</v>
      </c>
      <c r="AM119" s="19">
        <v>926</v>
      </c>
      <c r="AN119" s="19">
        <v>16665</v>
      </c>
      <c r="AO119" s="19">
        <v>1781</v>
      </c>
      <c r="AP119" s="19">
        <v>0</v>
      </c>
      <c r="AQ119" s="19">
        <v>0</v>
      </c>
      <c r="AR119" s="19">
        <v>17073</v>
      </c>
      <c r="AS119" s="19">
        <v>4793</v>
      </c>
      <c r="AT119" s="19">
        <v>472</v>
      </c>
      <c r="AU119" s="19">
        <v>117</v>
      </c>
      <c r="AV119" s="19">
        <v>45</v>
      </c>
      <c r="AW119" s="19">
        <v>4343</v>
      </c>
      <c r="AX119" s="19">
        <v>124</v>
      </c>
      <c r="AY119" s="19">
        <v>0</v>
      </c>
      <c r="AZ119" s="19">
        <v>43</v>
      </c>
      <c r="BA119" s="19">
        <v>21</v>
      </c>
      <c r="BB119" s="19">
        <v>0</v>
      </c>
      <c r="BC119" s="19">
        <v>0</v>
      </c>
      <c r="BD119" s="19">
        <v>64</v>
      </c>
      <c r="BE119" s="19">
        <v>0</v>
      </c>
      <c r="BF119" s="19">
        <v>14</v>
      </c>
      <c r="BG119" s="19">
        <v>1</v>
      </c>
      <c r="BH119" s="19">
        <v>211</v>
      </c>
      <c r="BI119" s="19">
        <v>50</v>
      </c>
      <c r="BJ119" s="19">
        <v>0</v>
      </c>
      <c r="BK119" s="19">
        <v>0</v>
      </c>
      <c r="BL119" s="19">
        <v>1287</v>
      </c>
      <c r="BM119" s="19">
        <v>38</v>
      </c>
      <c r="BN119" s="19">
        <v>0</v>
      </c>
      <c r="BO119" s="19">
        <v>169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>
        <v>0</v>
      </c>
      <c r="BW119" s="19">
        <v>1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</v>
      </c>
      <c r="CD119" s="19">
        <v>0</v>
      </c>
      <c r="CE119" s="19">
        <v>0</v>
      </c>
      <c r="CF119" s="19">
        <v>0</v>
      </c>
      <c r="CG119" s="19">
        <v>0</v>
      </c>
      <c r="CH119" s="19">
        <v>0</v>
      </c>
      <c r="CI119" s="19">
        <v>0</v>
      </c>
      <c r="CJ119" s="19">
        <v>0</v>
      </c>
      <c r="CK119" s="19">
        <v>0</v>
      </c>
      <c r="CL119" s="19">
        <v>0</v>
      </c>
      <c r="CM119" s="19">
        <v>0</v>
      </c>
      <c r="CN119" s="19">
        <v>0</v>
      </c>
      <c r="CO119" s="19">
        <v>0</v>
      </c>
      <c r="CP119" s="19">
        <v>0</v>
      </c>
      <c r="CQ119" s="19">
        <v>0</v>
      </c>
      <c r="CR119" s="19">
        <v>0</v>
      </c>
      <c r="CS119" s="19">
        <v>0</v>
      </c>
      <c r="CT119" s="19">
        <v>0</v>
      </c>
      <c r="CU119" s="19">
        <v>0</v>
      </c>
      <c r="CV119" s="19">
        <v>0</v>
      </c>
      <c r="CW119" s="19">
        <v>0</v>
      </c>
      <c r="CX119" s="19">
        <v>0</v>
      </c>
      <c r="CY119" s="19">
        <v>0</v>
      </c>
      <c r="CZ119" s="19">
        <v>0</v>
      </c>
      <c r="DA119" s="19">
        <v>0</v>
      </c>
      <c r="DB119" s="19">
        <v>0</v>
      </c>
      <c r="DC119" s="19">
        <v>0</v>
      </c>
      <c r="DD119" s="19">
        <v>0</v>
      </c>
      <c r="DE119" s="19">
        <v>0</v>
      </c>
      <c r="DF119" s="19">
        <v>0</v>
      </c>
      <c r="DG119" s="19">
        <v>0</v>
      </c>
      <c r="DH119" s="19">
        <v>0</v>
      </c>
      <c r="DI119" s="19">
        <v>0</v>
      </c>
      <c r="DJ119" s="21">
        <v>60802</v>
      </c>
      <c r="DK119" s="19">
        <v>14780245</v>
      </c>
      <c r="DL119" s="19">
        <v>11561768</v>
      </c>
      <c r="DM119" s="19">
        <v>0</v>
      </c>
      <c r="DN119" s="19">
        <v>471548</v>
      </c>
      <c r="DO119" s="19">
        <v>466108</v>
      </c>
      <c r="DP119" s="19">
        <v>1357436</v>
      </c>
      <c r="DQ119" s="19">
        <v>317258</v>
      </c>
      <c r="DR119" s="19">
        <v>556352</v>
      </c>
      <c r="DS119" s="19">
        <v>49775</v>
      </c>
      <c r="DT119" s="22">
        <v>0.3</v>
      </c>
    </row>
    <row r="120" spans="1:124" x14ac:dyDescent="0.35">
      <c r="A120" s="19" t="s">
        <v>237</v>
      </c>
      <c r="B120" s="19" t="s">
        <v>245</v>
      </c>
      <c r="C120" s="19">
        <v>232948.943577</v>
      </c>
      <c r="D120" s="19">
        <v>37271.83097232</v>
      </c>
      <c r="E120" s="20">
        <v>38646</v>
      </c>
      <c r="F120" s="19">
        <v>0</v>
      </c>
      <c r="G120" s="19">
        <v>0</v>
      </c>
      <c r="H120" s="19">
        <v>0</v>
      </c>
      <c r="I120" s="19">
        <v>36773</v>
      </c>
      <c r="J120" s="19">
        <v>0</v>
      </c>
      <c r="K120" s="19">
        <v>0</v>
      </c>
      <c r="L120" s="19">
        <v>0</v>
      </c>
      <c r="M120" s="19">
        <v>974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899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663.68384615384616</v>
      </c>
      <c r="AE120" s="19">
        <v>367.73</v>
      </c>
      <c r="AF120" s="19">
        <v>194.8</v>
      </c>
      <c r="AG120" s="19">
        <v>32</v>
      </c>
      <c r="AH120" s="19">
        <v>69.15384615384616</v>
      </c>
      <c r="AI120" s="19">
        <v>0</v>
      </c>
      <c r="AJ120" s="19">
        <v>0</v>
      </c>
      <c r="AK120" s="19">
        <v>606</v>
      </c>
      <c r="AL120" s="19">
        <v>306</v>
      </c>
      <c r="AM120" s="19">
        <v>235</v>
      </c>
      <c r="AN120" s="19">
        <v>0</v>
      </c>
      <c r="AO120" s="19">
        <v>65</v>
      </c>
      <c r="AP120" s="19">
        <v>0</v>
      </c>
      <c r="AQ120" s="19">
        <v>0</v>
      </c>
      <c r="AR120" s="19">
        <v>122</v>
      </c>
      <c r="AS120" s="19">
        <v>32</v>
      </c>
      <c r="AT120" s="19">
        <v>0</v>
      </c>
      <c r="AU120" s="19">
        <v>0</v>
      </c>
      <c r="AV120" s="19">
        <v>0</v>
      </c>
      <c r="AW120" s="19">
        <v>33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38</v>
      </c>
      <c r="BI120" s="19">
        <v>0</v>
      </c>
      <c r="BJ120" s="19">
        <v>0</v>
      </c>
      <c r="BK120" s="19">
        <v>0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>
        <v>0</v>
      </c>
      <c r="BW120" s="19">
        <v>1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</v>
      </c>
      <c r="CD120" s="19">
        <v>0</v>
      </c>
      <c r="CE120" s="19">
        <v>0</v>
      </c>
      <c r="CF120" s="19">
        <v>0</v>
      </c>
      <c r="CG120" s="19">
        <v>0</v>
      </c>
      <c r="CH120" s="19">
        <v>0</v>
      </c>
      <c r="CI120" s="19">
        <v>0</v>
      </c>
      <c r="CJ120" s="19">
        <v>0</v>
      </c>
      <c r="CK120" s="19">
        <v>0</v>
      </c>
      <c r="CL120" s="19">
        <v>0</v>
      </c>
      <c r="CM120" s="19">
        <v>0</v>
      </c>
      <c r="CN120" s="19">
        <v>0</v>
      </c>
      <c r="CO120" s="19">
        <v>0</v>
      </c>
      <c r="CP120" s="19">
        <v>0</v>
      </c>
      <c r="CQ120" s="19">
        <v>0</v>
      </c>
      <c r="CR120" s="19">
        <v>0</v>
      </c>
      <c r="CS120" s="19">
        <v>0</v>
      </c>
      <c r="CT120" s="19">
        <v>0</v>
      </c>
      <c r="CU120" s="19">
        <v>0</v>
      </c>
      <c r="CV120" s="19">
        <v>0</v>
      </c>
      <c r="CW120" s="19">
        <v>0</v>
      </c>
      <c r="CX120" s="19">
        <v>0</v>
      </c>
      <c r="CY120" s="19">
        <v>0</v>
      </c>
      <c r="CZ120" s="19">
        <v>0</v>
      </c>
      <c r="DA120" s="19">
        <v>0</v>
      </c>
      <c r="DB120" s="19">
        <v>0</v>
      </c>
      <c r="DC120" s="19">
        <v>0</v>
      </c>
      <c r="DD120" s="19">
        <v>0</v>
      </c>
      <c r="DE120" s="19">
        <v>0</v>
      </c>
      <c r="DF120" s="19">
        <v>0</v>
      </c>
      <c r="DG120" s="19">
        <v>0</v>
      </c>
      <c r="DH120" s="19">
        <v>0</v>
      </c>
      <c r="DI120" s="19">
        <v>0</v>
      </c>
      <c r="DJ120" s="21">
        <v>60803</v>
      </c>
      <c r="DK120" s="19">
        <v>722315</v>
      </c>
      <c r="DL120" s="19">
        <v>575244</v>
      </c>
      <c r="DM120" s="19">
        <v>0</v>
      </c>
      <c r="DN120" s="19">
        <v>126157</v>
      </c>
      <c r="DO120" s="19">
        <v>0</v>
      </c>
      <c r="DP120" s="19">
        <v>0</v>
      </c>
      <c r="DQ120" s="19">
        <v>0</v>
      </c>
      <c r="DR120" s="19">
        <v>20914</v>
      </c>
      <c r="DS120" s="19">
        <v>0</v>
      </c>
      <c r="DT120" s="22">
        <v>0.24</v>
      </c>
    </row>
    <row r="121" spans="1:124" x14ac:dyDescent="0.35">
      <c r="A121" s="19" t="s">
        <v>237</v>
      </c>
      <c r="B121" s="19" t="s">
        <v>246</v>
      </c>
      <c r="C121" s="19">
        <v>607177.10756412498</v>
      </c>
      <c r="D121" s="19">
        <v>97148.337210259997</v>
      </c>
      <c r="E121" s="20">
        <v>256129</v>
      </c>
      <c r="F121" s="19">
        <v>0</v>
      </c>
      <c r="G121" s="19">
        <v>160</v>
      </c>
      <c r="H121" s="19">
        <v>0</v>
      </c>
      <c r="I121" s="19">
        <v>241437</v>
      </c>
      <c r="J121" s="19">
        <v>0</v>
      </c>
      <c r="K121" s="19">
        <v>80</v>
      </c>
      <c r="L121" s="19">
        <v>0</v>
      </c>
      <c r="M121" s="19">
        <v>5701</v>
      </c>
      <c r="N121" s="19">
        <v>31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8690</v>
      </c>
      <c r="V121" s="19">
        <v>0</v>
      </c>
      <c r="W121" s="19">
        <v>0</v>
      </c>
      <c r="X121" s="19">
        <v>0</v>
      </c>
      <c r="Y121" s="19">
        <v>20</v>
      </c>
      <c r="Z121" s="19">
        <v>0</v>
      </c>
      <c r="AA121" s="19">
        <v>0</v>
      </c>
      <c r="AB121" s="19">
        <v>10</v>
      </c>
      <c r="AC121" s="19">
        <v>0</v>
      </c>
      <c r="AD121" s="19">
        <v>4290.0315384615378</v>
      </c>
      <c r="AE121" s="19">
        <v>2414.37</v>
      </c>
      <c r="AF121" s="19">
        <v>1140.2</v>
      </c>
      <c r="AG121" s="19">
        <v>67</v>
      </c>
      <c r="AH121" s="19">
        <v>668.46153846153845</v>
      </c>
      <c r="AI121" s="19">
        <v>0</v>
      </c>
      <c r="AJ121" s="19">
        <v>0</v>
      </c>
      <c r="AK121" s="19">
        <v>3945</v>
      </c>
      <c r="AL121" s="19">
        <v>2013</v>
      </c>
      <c r="AM121" s="19">
        <v>1277</v>
      </c>
      <c r="AN121" s="19">
        <v>142</v>
      </c>
      <c r="AO121" s="19">
        <v>513</v>
      </c>
      <c r="AP121" s="19">
        <v>0</v>
      </c>
      <c r="AQ121" s="19">
        <v>0</v>
      </c>
      <c r="AR121" s="19">
        <v>263</v>
      </c>
      <c r="AS121" s="19">
        <v>67</v>
      </c>
      <c r="AT121" s="19">
        <v>0</v>
      </c>
      <c r="AU121" s="19">
        <v>0</v>
      </c>
      <c r="AV121" s="19">
        <v>2</v>
      </c>
      <c r="AW121" s="19">
        <v>20</v>
      </c>
      <c r="AX121" s="19">
        <v>0</v>
      </c>
      <c r="AY121" s="19">
        <v>0</v>
      </c>
      <c r="AZ121" s="19">
        <v>5</v>
      </c>
      <c r="BA121" s="19">
        <v>3</v>
      </c>
      <c r="BB121" s="19">
        <v>0</v>
      </c>
      <c r="BC121" s="19">
        <v>0</v>
      </c>
      <c r="BD121" s="19">
        <v>8</v>
      </c>
      <c r="BE121" s="19">
        <v>0</v>
      </c>
      <c r="BF121" s="19">
        <v>0</v>
      </c>
      <c r="BG121" s="19">
        <v>0</v>
      </c>
      <c r="BH121" s="19">
        <v>1</v>
      </c>
      <c r="BI121" s="19">
        <v>2</v>
      </c>
      <c r="BJ121" s="19">
        <v>0</v>
      </c>
      <c r="BK121" s="19">
        <v>0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>
        <v>0</v>
      </c>
      <c r="BW121" s="19">
        <v>1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</v>
      </c>
      <c r="CD121" s="19">
        <v>0</v>
      </c>
      <c r="CE121" s="19">
        <v>0</v>
      </c>
      <c r="CF121" s="19">
        <v>0</v>
      </c>
      <c r="CG121" s="19">
        <v>0</v>
      </c>
      <c r="CH121" s="19">
        <v>0</v>
      </c>
      <c r="CI121" s="19">
        <v>0</v>
      </c>
      <c r="CJ121" s="19">
        <v>0</v>
      </c>
      <c r="CK121" s="19">
        <v>0</v>
      </c>
      <c r="CL121" s="19">
        <v>0</v>
      </c>
      <c r="CM121" s="19">
        <v>0</v>
      </c>
      <c r="CN121" s="19">
        <v>0</v>
      </c>
      <c r="CO121" s="19">
        <v>0</v>
      </c>
      <c r="CP121" s="19">
        <v>0</v>
      </c>
      <c r="CQ121" s="19">
        <v>0</v>
      </c>
      <c r="CR121" s="19">
        <v>0</v>
      </c>
      <c r="CS121" s="19">
        <v>0</v>
      </c>
      <c r="CT121" s="19">
        <v>0</v>
      </c>
      <c r="CU121" s="19">
        <v>0</v>
      </c>
      <c r="CV121" s="19">
        <v>0</v>
      </c>
      <c r="CW121" s="19">
        <v>0</v>
      </c>
      <c r="CX121" s="19">
        <v>0</v>
      </c>
      <c r="CY121" s="19">
        <v>0</v>
      </c>
      <c r="CZ121" s="19">
        <v>0</v>
      </c>
      <c r="DA121" s="19">
        <v>0</v>
      </c>
      <c r="DB121" s="19">
        <v>0</v>
      </c>
      <c r="DC121" s="19">
        <v>0</v>
      </c>
      <c r="DD121" s="19">
        <v>0</v>
      </c>
      <c r="DE121" s="19">
        <v>0</v>
      </c>
      <c r="DF121" s="19">
        <v>0</v>
      </c>
      <c r="DG121" s="19">
        <v>0</v>
      </c>
      <c r="DH121" s="19">
        <v>0</v>
      </c>
      <c r="DI121" s="19">
        <v>0</v>
      </c>
      <c r="DJ121" s="21">
        <v>60807</v>
      </c>
      <c r="DK121" s="19">
        <v>2930163</v>
      </c>
      <c r="DL121" s="19">
        <v>2053665</v>
      </c>
      <c r="DM121" s="19">
        <v>0</v>
      </c>
      <c r="DN121" s="19">
        <v>623605</v>
      </c>
      <c r="DO121" s="19">
        <v>5100</v>
      </c>
      <c r="DP121" s="19">
        <v>94149</v>
      </c>
      <c r="DQ121" s="19">
        <v>648</v>
      </c>
      <c r="DR121" s="19">
        <v>149487</v>
      </c>
      <c r="DS121" s="19">
        <v>3509</v>
      </c>
      <c r="DT121" s="22">
        <v>0.34</v>
      </c>
    </row>
    <row r="122" spans="1:124" x14ac:dyDescent="0.35">
      <c r="A122" s="19" t="s">
        <v>237</v>
      </c>
      <c r="B122" s="19" t="s">
        <v>247</v>
      </c>
      <c r="C122" s="19">
        <v>351580.35002825002</v>
      </c>
      <c r="D122" s="19">
        <v>56252.856004519999</v>
      </c>
      <c r="E122" s="20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>
        <v>0</v>
      </c>
      <c r="BW122" s="19">
        <v>0</v>
      </c>
      <c r="BX122" s="19">
        <v>0</v>
      </c>
      <c r="BY122" s="19">
        <v>0</v>
      </c>
      <c r="BZ122" s="19">
        <v>0</v>
      </c>
      <c r="CA122" s="19">
        <v>0</v>
      </c>
      <c r="CB122" s="19">
        <v>0</v>
      </c>
      <c r="CC122" s="19">
        <v>0</v>
      </c>
      <c r="CD122" s="19">
        <v>0</v>
      </c>
      <c r="CE122" s="19">
        <v>0</v>
      </c>
      <c r="CF122" s="19">
        <v>0</v>
      </c>
      <c r="CG122" s="19">
        <v>0</v>
      </c>
      <c r="CH122" s="19">
        <v>0</v>
      </c>
      <c r="CI122" s="19">
        <v>0</v>
      </c>
      <c r="CJ122" s="19">
        <v>0</v>
      </c>
      <c r="CK122" s="19">
        <v>0</v>
      </c>
      <c r="CL122" s="19">
        <v>0</v>
      </c>
      <c r="CM122" s="19">
        <v>0</v>
      </c>
      <c r="CN122" s="19">
        <v>0</v>
      </c>
      <c r="CO122" s="19">
        <v>0</v>
      </c>
      <c r="CP122" s="19">
        <v>0</v>
      </c>
      <c r="CQ122" s="19">
        <v>0</v>
      </c>
      <c r="CR122" s="19">
        <v>0</v>
      </c>
      <c r="CS122" s="19">
        <v>0</v>
      </c>
      <c r="CT122" s="19">
        <v>0</v>
      </c>
      <c r="CU122" s="19">
        <v>0</v>
      </c>
      <c r="CV122" s="19">
        <v>0</v>
      </c>
      <c r="CW122" s="19">
        <v>0</v>
      </c>
      <c r="CX122" s="19">
        <v>0</v>
      </c>
      <c r="CY122" s="19">
        <v>0</v>
      </c>
      <c r="CZ122" s="19">
        <v>0</v>
      </c>
      <c r="DA122" s="19">
        <v>0</v>
      </c>
      <c r="DB122" s="19">
        <v>0</v>
      </c>
      <c r="DC122" s="19">
        <v>0</v>
      </c>
      <c r="DD122" s="19">
        <v>0</v>
      </c>
      <c r="DE122" s="19">
        <v>0</v>
      </c>
      <c r="DF122" s="19">
        <v>0</v>
      </c>
      <c r="DG122" s="19">
        <v>0</v>
      </c>
      <c r="DH122" s="19">
        <v>0</v>
      </c>
      <c r="DI122" s="19">
        <v>0</v>
      </c>
      <c r="DJ122" s="21">
        <v>60813</v>
      </c>
      <c r="DK122" s="19">
        <v>0</v>
      </c>
      <c r="DL122" s="19">
        <v>0</v>
      </c>
      <c r="DM122" s="19">
        <v>0</v>
      </c>
      <c r="DN122" s="19">
        <v>0</v>
      </c>
      <c r="DO122" s="19">
        <v>0</v>
      </c>
      <c r="DP122" s="19">
        <v>0</v>
      </c>
      <c r="DQ122" s="19">
        <v>0</v>
      </c>
      <c r="DR122" s="19">
        <v>0</v>
      </c>
      <c r="DS122" s="19">
        <v>0</v>
      </c>
      <c r="DT122" s="22">
        <v>0.25</v>
      </c>
    </row>
    <row r="123" spans="1:124" x14ac:dyDescent="0.35">
      <c r="A123" s="19" t="s">
        <v>248</v>
      </c>
      <c r="B123" s="19" t="s">
        <v>249</v>
      </c>
      <c r="C123" s="19">
        <v>193000.35668820725</v>
      </c>
      <c r="D123" s="19">
        <v>30880.057070113158</v>
      </c>
      <c r="E123" s="20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  <c r="CM123" s="19">
        <v>0</v>
      </c>
      <c r="CN123" s="19">
        <v>0</v>
      </c>
      <c r="CO123" s="19">
        <v>0</v>
      </c>
      <c r="CP123" s="19">
        <v>0</v>
      </c>
      <c r="CQ123" s="19">
        <v>0</v>
      </c>
      <c r="CR123" s="19">
        <v>0</v>
      </c>
      <c r="CS123" s="19">
        <v>0</v>
      </c>
      <c r="CT123" s="19">
        <v>0</v>
      </c>
      <c r="CU123" s="19">
        <v>0</v>
      </c>
      <c r="CV123" s="19">
        <v>0</v>
      </c>
      <c r="CW123" s="19">
        <v>0</v>
      </c>
      <c r="CX123" s="19">
        <v>0</v>
      </c>
      <c r="CY123" s="19">
        <v>0</v>
      </c>
      <c r="CZ123" s="19">
        <v>0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>
        <v>0</v>
      </c>
      <c r="DH123" s="19">
        <v>0</v>
      </c>
      <c r="DI123" s="19">
        <v>0</v>
      </c>
      <c r="DJ123" s="21">
        <v>20233</v>
      </c>
      <c r="DK123" s="19">
        <v>0</v>
      </c>
      <c r="DL123" s="19">
        <v>0</v>
      </c>
      <c r="DM123" s="19">
        <v>0</v>
      </c>
      <c r="DN123" s="19">
        <v>0</v>
      </c>
      <c r="DO123" s="19">
        <v>0</v>
      </c>
      <c r="DP123" s="19">
        <v>0</v>
      </c>
      <c r="DQ123" s="19">
        <v>0</v>
      </c>
      <c r="DR123" s="19">
        <v>0</v>
      </c>
      <c r="DS123" s="19">
        <v>0</v>
      </c>
      <c r="DT123" s="22">
        <v>0.1</v>
      </c>
    </row>
    <row r="124" spans="1:124" x14ac:dyDescent="0.35">
      <c r="A124" s="19" t="s">
        <v>248</v>
      </c>
      <c r="B124" s="19" t="s">
        <v>250</v>
      </c>
      <c r="C124" s="19">
        <v>226746.67795426241</v>
      </c>
      <c r="D124" s="19">
        <v>36279.468472681983</v>
      </c>
      <c r="E124" s="20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</v>
      </c>
      <c r="CR124" s="19">
        <v>0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21">
        <v>20234</v>
      </c>
      <c r="DK124" s="19">
        <v>0</v>
      </c>
      <c r="DL124" s="19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0</v>
      </c>
      <c r="DS124" s="19">
        <v>0</v>
      </c>
      <c r="DT124" s="22">
        <v>0.11</v>
      </c>
    </row>
    <row r="125" spans="1:124" x14ac:dyDescent="0.35">
      <c r="A125" s="19" t="s">
        <v>248</v>
      </c>
      <c r="B125" s="19" t="s">
        <v>251</v>
      </c>
      <c r="C125" s="19">
        <v>290314.77786749904</v>
      </c>
      <c r="D125" s="19">
        <v>46450.36445879985</v>
      </c>
      <c r="E125" s="20">
        <v>61253</v>
      </c>
      <c r="F125" s="19">
        <v>0</v>
      </c>
      <c r="G125" s="19">
        <v>0</v>
      </c>
      <c r="H125" s="19">
        <v>0</v>
      </c>
      <c r="I125" s="19">
        <v>45241</v>
      </c>
      <c r="J125" s="19">
        <v>0</v>
      </c>
      <c r="K125" s="19">
        <v>0</v>
      </c>
      <c r="L125" s="19">
        <v>0</v>
      </c>
      <c r="M125" s="19">
        <v>2837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13175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2033.2715384615385</v>
      </c>
      <c r="AE125" s="19">
        <v>452.41</v>
      </c>
      <c r="AF125" s="19">
        <v>567.4</v>
      </c>
      <c r="AG125" s="19">
        <v>0</v>
      </c>
      <c r="AH125" s="19">
        <v>1013.4615384615385</v>
      </c>
      <c r="AI125" s="19">
        <v>0</v>
      </c>
      <c r="AJ125" s="19">
        <v>0</v>
      </c>
      <c r="AK125" s="19">
        <v>1745</v>
      </c>
      <c r="AL125" s="19">
        <v>376</v>
      </c>
      <c r="AM125" s="19">
        <v>632</v>
      </c>
      <c r="AN125" s="19">
        <v>0</v>
      </c>
      <c r="AO125" s="19">
        <v>737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22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19">
        <v>0</v>
      </c>
      <c r="CL125" s="19">
        <v>0</v>
      </c>
      <c r="CM125" s="19">
        <v>0</v>
      </c>
      <c r="CN125" s="19">
        <v>0</v>
      </c>
      <c r="CO125" s="19">
        <v>0</v>
      </c>
      <c r="CP125" s="19">
        <v>0</v>
      </c>
      <c r="CQ125" s="19">
        <v>0</v>
      </c>
      <c r="CR125" s="19">
        <v>0</v>
      </c>
      <c r="CS125" s="19">
        <v>0</v>
      </c>
      <c r="CT125" s="19">
        <v>0</v>
      </c>
      <c r="CU125" s="19">
        <v>0</v>
      </c>
      <c r="CV125" s="19">
        <v>0</v>
      </c>
      <c r="CW125" s="19">
        <v>0</v>
      </c>
      <c r="CX125" s="19">
        <v>0</v>
      </c>
      <c r="CY125" s="19">
        <v>0</v>
      </c>
      <c r="CZ125" s="19">
        <v>0</v>
      </c>
      <c r="DA125" s="19">
        <v>0</v>
      </c>
      <c r="DB125" s="19">
        <v>0</v>
      </c>
      <c r="DC125" s="19">
        <v>0</v>
      </c>
      <c r="DD125" s="19">
        <v>0</v>
      </c>
      <c r="DE125" s="19">
        <v>0</v>
      </c>
      <c r="DF125" s="19">
        <v>0</v>
      </c>
      <c r="DG125" s="19">
        <v>0</v>
      </c>
      <c r="DH125" s="19">
        <v>0</v>
      </c>
      <c r="DI125" s="19">
        <v>0</v>
      </c>
      <c r="DJ125" s="21">
        <v>20204</v>
      </c>
      <c r="DK125" s="19">
        <v>912112</v>
      </c>
      <c r="DL125" s="19">
        <v>353585</v>
      </c>
      <c r="DM125" s="19">
        <v>0</v>
      </c>
      <c r="DN125" s="19">
        <v>295438</v>
      </c>
      <c r="DO125" s="19">
        <v>0</v>
      </c>
      <c r="DP125" s="19">
        <v>0</v>
      </c>
      <c r="DQ125" s="19">
        <v>0</v>
      </c>
      <c r="DR125" s="19">
        <v>263089</v>
      </c>
      <c r="DS125" s="19">
        <v>0</v>
      </c>
      <c r="DT125" s="22">
        <v>0.12</v>
      </c>
    </row>
    <row r="126" spans="1:124" x14ac:dyDescent="0.35">
      <c r="A126" s="19" t="s">
        <v>248</v>
      </c>
      <c r="B126" s="19" t="s">
        <v>252</v>
      </c>
      <c r="C126" s="19">
        <v>502800.8822989898</v>
      </c>
      <c r="D126" s="19">
        <v>80448.141167838374</v>
      </c>
      <c r="E126" s="20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1</v>
      </c>
      <c r="BA126" s="19">
        <v>3</v>
      </c>
      <c r="BB126" s="19">
        <v>0</v>
      </c>
      <c r="BC126" s="19">
        <v>0</v>
      </c>
      <c r="BD126" s="19">
        <v>4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0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>
        <v>0</v>
      </c>
      <c r="BW126" s="19">
        <v>0</v>
      </c>
      <c r="BX126" s="19">
        <v>0</v>
      </c>
      <c r="BY126" s="19">
        <v>0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19">
        <v>0</v>
      </c>
      <c r="CL126" s="19">
        <v>0</v>
      </c>
      <c r="CM126" s="19">
        <v>0</v>
      </c>
      <c r="CN126" s="19">
        <v>0</v>
      </c>
      <c r="CO126" s="19">
        <v>0</v>
      </c>
      <c r="CP126" s="19">
        <v>0</v>
      </c>
      <c r="CQ126" s="19">
        <v>0</v>
      </c>
      <c r="CR126" s="19">
        <v>0</v>
      </c>
      <c r="CS126" s="19">
        <v>0</v>
      </c>
      <c r="CT126" s="19">
        <v>0</v>
      </c>
      <c r="CU126" s="19">
        <v>1</v>
      </c>
      <c r="CV126" s="19">
        <v>0</v>
      </c>
      <c r="CW126" s="19">
        <v>0</v>
      </c>
      <c r="CX126" s="19">
        <v>0</v>
      </c>
      <c r="CY126" s="19">
        <v>0</v>
      </c>
      <c r="CZ126" s="19">
        <v>0</v>
      </c>
      <c r="DA126" s="19">
        <v>0</v>
      </c>
      <c r="DB126" s="19">
        <v>0</v>
      </c>
      <c r="DC126" s="19">
        <v>0</v>
      </c>
      <c r="DD126" s="19">
        <v>0</v>
      </c>
      <c r="DE126" s="19">
        <v>0</v>
      </c>
      <c r="DF126" s="19">
        <v>0</v>
      </c>
      <c r="DG126" s="19">
        <v>0</v>
      </c>
      <c r="DH126" s="19">
        <v>0</v>
      </c>
      <c r="DI126" s="19">
        <v>0</v>
      </c>
      <c r="DJ126" s="21">
        <v>20235</v>
      </c>
      <c r="DK126" s="19">
        <v>0</v>
      </c>
      <c r="DL126" s="19">
        <v>0</v>
      </c>
      <c r="DM126" s="19">
        <v>0</v>
      </c>
      <c r="DN126" s="19">
        <v>0</v>
      </c>
      <c r="DO126" s="19">
        <v>0</v>
      </c>
      <c r="DP126" s="19">
        <v>0</v>
      </c>
      <c r="DQ126" s="19">
        <v>0</v>
      </c>
      <c r="DR126" s="19">
        <v>0</v>
      </c>
      <c r="DS126" s="19">
        <v>0</v>
      </c>
      <c r="DT126" s="22">
        <v>0.12</v>
      </c>
    </row>
    <row r="127" spans="1:124" x14ac:dyDescent="0.35">
      <c r="A127" s="19" t="s">
        <v>248</v>
      </c>
      <c r="B127" s="19" t="s">
        <v>253</v>
      </c>
      <c r="C127" s="19">
        <v>383151.40268692176</v>
      </c>
      <c r="D127" s="19">
        <v>61304.224429907481</v>
      </c>
      <c r="E127" s="20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>
        <v>0</v>
      </c>
      <c r="BW127" s="19">
        <v>0</v>
      </c>
      <c r="BX127" s="19">
        <v>0</v>
      </c>
      <c r="BY127" s="19">
        <v>0</v>
      </c>
      <c r="BZ127" s="19">
        <v>0</v>
      </c>
      <c r="CA127" s="19">
        <v>0</v>
      </c>
      <c r="CB127" s="19">
        <v>0</v>
      </c>
      <c r="CC127" s="19">
        <v>0</v>
      </c>
      <c r="CD127" s="19">
        <v>0</v>
      </c>
      <c r="CE127" s="19">
        <v>0</v>
      </c>
      <c r="CF127" s="19">
        <v>0</v>
      </c>
      <c r="CG127" s="19">
        <v>0</v>
      </c>
      <c r="CH127" s="19">
        <v>0</v>
      </c>
      <c r="CI127" s="19">
        <v>0</v>
      </c>
      <c r="CJ127" s="19">
        <v>0</v>
      </c>
      <c r="CK127" s="19">
        <v>0</v>
      </c>
      <c r="CL127" s="19">
        <v>0</v>
      </c>
      <c r="CM127" s="19">
        <v>0</v>
      </c>
      <c r="CN127" s="19">
        <v>0</v>
      </c>
      <c r="CO127" s="19">
        <v>0</v>
      </c>
      <c r="CP127" s="19">
        <v>0</v>
      </c>
      <c r="CQ127" s="19">
        <v>0</v>
      </c>
      <c r="CR127" s="19">
        <v>0</v>
      </c>
      <c r="CS127" s="19">
        <v>0</v>
      </c>
      <c r="CT127" s="19">
        <v>0</v>
      </c>
      <c r="CU127" s="19">
        <v>1</v>
      </c>
      <c r="CV127" s="19">
        <v>0</v>
      </c>
      <c r="CW127" s="19">
        <v>0</v>
      </c>
      <c r="CX127" s="19">
        <v>0</v>
      </c>
      <c r="CY127" s="19">
        <v>0</v>
      </c>
      <c r="CZ127" s="19">
        <v>0</v>
      </c>
      <c r="DA127" s="19">
        <v>0</v>
      </c>
      <c r="DB127" s="19">
        <v>0</v>
      </c>
      <c r="DC127" s="19">
        <v>0</v>
      </c>
      <c r="DD127" s="19">
        <v>0</v>
      </c>
      <c r="DE127" s="19">
        <v>0</v>
      </c>
      <c r="DF127" s="19">
        <v>0</v>
      </c>
      <c r="DG127" s="19">
        <v>0</v>
      </c>
      <c r="DH127" s="19">
        <v>0</v>
      </c>
      <c r="DI127" s="19">
        <v>0</v>
      </c>
      <c r="DJ127" s="21">
        <v>20236</v>
      </c>
      <c r="DK127" s="19">
        <v>0</v>
      </c>
      <c r="DL127" s="19">
        <v>0</v>
      </c>
      <c r="DM127" s="19">
        <v>0</v>
      </c>
      <c r="DN127" s="19">
        <v>0</v>
      </c>
      <c r="DO127" s="19">
        <v>0</v>
      </c>
      <c r="DP127" s="19">
        <v>0</v>
      </c>
      <c r="DQ127" s="19">
        <v>0</v>
      </c>
      <c r="DR127" s="19">
        <v>0</v>
      </c>
      <c r="DS127" s="19">
        <v>0</v>
      </c>
      <c r="DT127" s="25">
        <v>0.09</v>
      </c>
    </row>
    <row r="128" spans="1:124" x14ac:dyDescent="0.35">
      <c r="A128" s="19" t="s">
        <v>248</v>
      </c>
      <c r="B128" s="19" t="s">
        <v>254</v>
      </c>
      <c r="C128" s="19">
        <v>221133.25549445552</v>
      </c>
      <c r="D128" s="19">
        <v>35381.320879112885</v>
      </c>
      <c r="E128" s="20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0</v>
      </c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>
        <v>0</v>
      </c>
      <c r="BW128" s="19">
        <v>0</v>
      </c>
      <c r="BX128" s="19">
        <v>0</v>
      </c>
      <c r="BY128" s="19">
        <v>0</v>
      </c>
      <c r="BZ128" s="19">
        <v>0</v>
      </c>
      <c r="CA128" s="19">
        <v>0</v>
      </c>
      <c r="CB128" s="19">
        <v>0</v>
      </c>
      <c r="CC128" s="19">
        <v>0</v>
      </c>
      <c r="CD128" s="19">
        <v>0</v>
      </c>
      <c r="CE128" s="19">
        <v>0</v>
      </c>
      <c r="CF128" s="19">
        <v>0</v>
      </c>
      <c r="CG128" s="19">
        <v>0</v>
      </c>
      <c r="CH128" s="19">
        <v>0</v>
      </c>
      <c r="CI128" s="19">
        <v>0</v>
      </c>
      <c r="CJ128" s="19">
        <v>0</v>
      </c>
      <c r="CK128" s="19">
        <v>0</v>
      </c>
      <c r="CL128" s="19">
        <v>0</v>
      </c>
      <c r="CM128" s="19">
        <v>0</v>
      </c>
      <c r="CN128" s="19">
        <v>0</v>
      </c>
      <c r="CO128" s="19">
        <v>0</v>
      </c>
      <c r="CP128" s="19">
        <v>0</v>
      </c>
      <c r="CQ128" s="19">
        <v>0</v>
      </c>
      <c r="CR128" s="19">
        <v>0</v>
      </c>
      <c r="CS128" s="19">
        <v>0</v>
      </c>
      <c r="CT128" s="19">
        <v>0</v>
      </c>
      <c r="CU128" s="19">
        <v>0</v>
      </c>
      <c r="CV128" s="19">
        <v>0</v>
      </c>
      <c r="CW128" s="19">
        <v>0</v>
      </c>
      <c r="CX128" s="19">
        <v>0</v>
      </c>
      <c r="CY128" s="19">
        <v>0</v>
      </c>
      <c r="CZ128" s="19">
        <v>0</v>
      </c>
      <c r="DA128" s="19">
        <v>0</v>
      </c>
      <c r="DB128" s="19">
        <v>0</v>
      </c>
      <c r="DC128" s="19">
        <v>0</v>
      </c>
      <c r="DD128" s="19">
        <v>0</v>
      </c>
      <c r="DE128" s="19">
        <v>0</v>
      </c>
      <c r="DF128" s="19">
        <v>0</v>
      </c>
      <c r="DG128" s="19">
        <v>0</v>
      </c>
      <c r="DH128" s="19">
        <v>0</v>
      </c>
      <c r="DI128" s="19">
        <v>0</v>
      </c>
      <c r="DJ128" s="21">
        <v>20237</v>
      </c>
      <c r="DK128" s="19">
        <v>0</v>
      </c>
      <c r="DL128" s="19">
        <v>0</v>
      </c>
      <c r="DM128" s="19">
        <v>0</v>
      </c>
      <c r="DN128" s="19">
        <v>0</v>
      </c>
      <c r="DO128" s="19">
        <v>0</v>
      </c>
      <c r="DP128" s="19">
        <v>0</v>
      </c>
      <c r="DQ128" s="19">
        <v>0</v>
      </c>
      <c r="DR128" s="19">
        <v>0</v>
      </c>
      <c r="DS128" s="19">
        <v>0</v>
      </c>
      <c r="DT128" s="22">
        <v>0.11</v>
      </c>
    </row>
    <row r="129" spans="1:124" x14ac:dyDescent="0.35">
      <c r="A129" s="19" t="s">
        <v>248</v>
      </c>
      <c r="B129" s="19" t="s">
        <v>255</v>
      </c>
      <c r="C129" s="19">
        <v>329105.09084239503</v>
      </c>
      <c r="D129" s="19">
        <v>52656.814534783203</v>
      </c>
      <c r="E129" s="20">
        <v>77209</v>
      </c>
      <c r="F129" s="19">
        <v>0</v>
      </c>
      <c r="G129" s="19">
        <v>1829</v>
      </c>
      <c r="H129" s="19">
        <v>0</v>
      </c>
      <c r="I129" s="19">
        <v>42430</v>
      </c>
      <c r="J129" s="19">
        <v>0</v>
      </c>
      <c r="K129" s="19">
        <v>0</v>
      </c>
      <c r="L129" s="19">
        <v>0</v>
      </c>
      <c r="M129" s="19">
        <v>4043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28907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3456.5153846153848</v>
      </c>
      <c r="AE129" s="19">
        <v>424.3</v>
      </c>
      <c r="AF129" s="19">
        <v>808.6</v>
      </c>
      <c r="AG129" s="19">
        <v>0</v>
      </c>
      <c r="AH129" s="19">
        <v>2223.6153846153848</v>
      </c>
      <c r="AI129" s="19">
        <v>0</v>
      </c>
      <c r="AJ129" s="19">
        <v>0</v>
      </c>
      <c r="AK129" s="19">
        <v>2705</v>
      </c>
      <c r="AL129" s="19">
        <v>354</v>
      </c>
      <c r="AM129" s="19">
        <v>696</v>
      </c>
      <c r="AN129" s="19">
        <v>0</v>
      </c>
      <c r="AO129" s="19">
        <v>1655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424</v>
      </c>
      <c r="AZ129" s="19">
        <v>10</v>
      </c>
      <c r="BA129" s="19">
        <v>0</v>
      </c>
      <c r="BB129" s="19">
        <v>0</v>
      </c>
      <c r="BC129" s="19">
        <v>0</v>
      </c>
      <c r="BD129" s="19">
        <v>10</v>
      </c>
      <c r="BE129" s="19">
        <v>10</v>
      </c>
      <c r="BF129" s="19">
        <v>0</v>
      </c>
      <c r="BG129" s="19">
        <v>0</v>
      </c>
      <c r="BH129" s="19">
        <v>21</v>
      </c>
      <c r="BI129" s="19">
        <v>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1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>
        <v>0</v>
      </c>
      <c r="BW129" s="19">
        <v>0</v>
      </c>
      <c r="BX129" s="19">
        <v>0</v>
      </c>
      <c r="BY129" s="19">
        <v>0</v>
      </c>
      <c r="BZ129" s="19">
        <v>0</v>
      </c>
      <c r="CA129" s="19">
        <v>0</v>
      </c>
      <c r="CB129" s="19">
        <v>0</v>
      </c>
      <c r="CC129" s="19">
        <v>0</v>
      </c>
      <c r="CD129" s="19">
        <v>0</v>
      </c>
      <c r="CE129" s="19">
        <v>0</v>
      </c>
      <c r="CF129" s="19">
        <v>0</v>
      </c>
      <c r="CG129" s="19">
        <v>0</v>
      </c>
      <c r="CH129" s="19">
        <v>0</v>
      </c>
      <c r="CI129" s="19">
        <v>0</v>
      </c>
      <c r="CJ129" s="19">
        <v>0</v>
      </c>
      <c r="CK129" s="19">
        <v>0</v>
      </c>
      <c r="CL129" s="19">
        <v>0</v>
      </c>
      <c r="CM129" s="19">
        <v>0</v>
      </c>
      <c r="CN129" s="19">
        <v>1</v>
      </c>
      <c r="CO129" s="19">
        <v>0</v>
      </c>
      <c r="CP129" s="19">
        <v>0</v>
      </c>
      <c r="CQ129" s="19">
        <v>0</v>
      </c>
      <c r="CR129" s="19">
        <v>0</v>
      </c>
      <c r="CS129" s="19">
        <v>0</v>
      </c>
      <c r="CT129" s="19">
        <v>0</v>
      </c>
      <c r="CU129" s="19">
        <v>1</v>
      </c>
      <c r="CV129" s="19">
        <v>0</v>
      </c>
      <c r="CW129" s="19">
        <v>0</v>
      </c>
      <c r="CX129" s="19">
        <v>0</v>
      </c>
      <c r="CY129" s="19">
        <v>0</v>
      </c>
      <c r="CZ129" s="19">
        <v>0</v>
      </c>
      <c r="DA129" s="19">
        <v>0</v>
      </c>
      <c r="DB129" s="19">
        <v>0</v>
      </c>
      <c r="DC129" s="19">
        <v>0</v>
      </c>
      <c r="DD129" s="19">
        <v>1</v>
      </c>
      <c r="DE129" s="19">
        <v>0</v>
      </c>
      <c r="DF129" s="19">
        <v>0</v>
      </c>
      <c r="DG129" s="19">
        <v>0</v>
      </c>
      <c r="DH129" s="19">
        <v>0</v>
      </c>
      <c r="DI129" s="19">
        <v>0</v>
      </c>
      <c r="DJ129" s="21">
        <v>20231</v>
      </c>
      <c r="DK129" s="19">
        <v>1852924</v>
      </c>
      <c r="DL129" s="19">
        <v>868809</v>
      </c>
      <c r="DM129" s="19">
        <v>0</v>
      </c>
      <c r="DN129" s="19">
        <v>316005</v>
      </c>
      <c r="DO129" s="19">
        <v>0</v>
      </c>
      <c r="DP129" s="19">
        <v>0</v>
      </c>
      <c r="DQ129" s="19">
        <v>0</v>
      </c>
      <c r="DR129" s="19">
        <v>627961</v>
      </c>
      <c r="DS129" s="19">
        <v>40149</v>
      </c>
      <c r="DT129" s="22">
        <v>0.15</v>
      </c>
    </row>
    <row r="130" spans="1:124" x14ac:dyDescent="0.35">
      <c r="A130" s="19" t="s">
        <v>248</v>
      </c>
      <c r="B130" s="19" t="s">
        <v>256</v>
      </c>
      <c r="C130" s="19">
        <v>137581.15593084012</v>
      </c>
      <c r="D130" s="19">
        <v>22012.98494893442</v>
      </c>
      <c r="E130" s="20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>
        <v>0</v>
      </c>
      <c r="BW130" s="19">
        <v>0</v>
      </c>
      <c r="BX130" s="19">
        <v>0</v>
      </c>
      <c r="BY130" s="19">
        <v>0</v>
      </c>
      <c r="BZ130" s="19">
        <v>0</v>
      </c>
      <c r="CA130" s="19">
        <v>0</v>
      </c>
      <c r="CB130" s="19">
        <v>0</v>
      </c>
      <c r="CC130" s="19">
        <v>0</v>
      </c>
      <c r="CD130" s="19">
        <v>0</v>
      </c>
      <c r="CE130" s="19">
        <v>0</v>
      </c>
      <c r="CF130" s="19">
        <v>0</v>
      </c>
      <c r="CG130" s="19">
        <v>0</v>
      </c>
      <c r="CH130" s="19">
        <v>0</v>
      </c>
      <c r="CI130" s="19">
        <v>0</v>
      </c>
      <c r="CJ130" s="19">
        <v>0</v>
      </c>
      <c r="CK130" s="19">
        <v>0</v>
      </c>
      <c r="CL130" s="19">
        <v>0</v>
      </c>
      <c r="CM130" s="19">
        <v>0</v>
      </c>
      <c r="CN130" s="19">
        <v>0</v>
      </c>
      <c r="CO130" s="19">
        <v>0</v>
      </c>
      <c r="CP130" s="19">
        <v>0</v>
      </c>
      <c r="CQ130" s="19">
        <v>0</v>
      </c>
      <c r="CR130" s="19">
        <v>0</v>
      </c>
      <c r="CS130" s="19">
        <v>0</v>
      </c>
      <c r="CT130" s="19">
        <v>0</v>
      </c>
      <c r="CU130" s="19">
        <v>0</v>
      </c>
      <c r="CV130" s="19">
        <v>0</v>
      </c>
      <c r="CW130" s="19">
        <v>0</v>
      </c>
      <c r="CX130" s="19">
        <v>0</v>
      </c>
      <c r="CY130" s="19">
        <v>0</v>
      </c>
      <c r="CZ130" s="19">
        <v>0</v>
      </c>
      <c r="DA130" s="19">
        <v>0</v>
      </c>
      <c r="DB130" s="19">
        <v>0</v>
      </c>
      <c r="DC130" s="19">
        <v>0</v>
      </c>
      <c r="DD130" s="19">
        <v>0</v>
      </c>
      <c r="DE130" s="19">
        <v>0</v>
      </c>
      <c r="DF130" s="19">
        <v>0</v>
      </c>
      <c r="DG130" s="19">
        <v>0</v>
      </c>
      <c r="DH130" s="19">
        <v>0</v>
      </c>
      <c r="DI130" s="19">
        <v>0</v>
      </c>
      <c r="DJ130" s="21">
        <v>20238</v>
      </c>
      <c r="DK130" s="19">
        <v>0</v>
      </c>
      <c r="DL130" s="19">
        <v>0</v>
      </c>
      <c r="DM130" s="19">
        <v>0</v>
      </c>
      <c r="DN130" s="19">
        <v>0</v>
      </c>
      <c r="DO130" s="19">
        <v>0</v>
      </c>
      <c r="DP130" s="19">
        <v>0</v>
      </c>
      <c r="DQ130" s="19">
        <v>0</v>
      </c>
      <c r="DR130" s="19">
        <v>0</v>
      </c>
      <c r="DS130" s="19">
        <v>0</v>
      </c>
      <c r="DT130" s="22">
        <v>0.11</v>
      </c>
    </row>
    <row r="131" spans="1:124" x14ac:dyDescent="0.35">
      <c r="A131" s="19" t="s">
        <v>248</v>
      </c>
      <c r="B131" s="19" t="s">
        <v>257</v>
      </c>
      <c r="C131" s="19">
        <v>412928.96417351684</v>
      </c>
      <c r="D131" s="19">
        <v>66068.634267762696</v>
      </c>
      <c r="E131" s="20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7</v>
      </c>
      <c r="BA131" s="19">
        <v>2</v>
      </c>
      <c r="BB131" s="19">
        <v>1</v>
      </c>
      <c r="BC131" s="19">
        <v>0</v>
      </c>
      <c r="BD131" s="19">
        <v>10</v>
      </c>
      <c r="BE131" s="19">
        <v>0</v>
      </c>
      <c r="BF131" s="19">
        <v>1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>
        <v>0</v>
      </c>
      <c r="BW131" s="19">
        <v>0</v>
      </c>
      <c r="BX131" s="19">
        <v>0</v>
      </c>
      <c r="BY131" s="19">
        <v>0</v>
      </c>
      <c r="BZ131" s="19">
        <v>0</v>
      </c>
      <c r="CA131" s="19">
        <v>0</v>
      </c>
      <c r="CB131" s="19">
        <v>0</v>
      </c>
      <c r="CC131" s="19">
        <v>0</v>
      </c>
      <c r="CD131" s="19">
        <v>0</v>
      </c>
      <c r="CE131" s="19">
        <v>0</v>
      </c>
      <c r="CF131" s="19">
        <v>0</v>
      </c>
      <c r="CG131" s="19">
        <v>0</v>
      </c>
      <c r="CH131" s="19">
        <v>0</v>
      </c>
      <c r="CI131" s="19">
        <v>0</v>
      </c>
      <c r="CJ131" s="19">
        <v>0</v>
      </c>
      <c r="CK131" s="19">
        <v>0</v>
      </c>
      <c r="CL131" s="19">
        <v>0</v>
      </c>
      <c r="CM131" s="19">
        <v>0</v>
      </c>
      <c r="CN131" s="19">
        <v>0</v>
      </c>
      <c r="CO131" s="19">
        <v>0</v>
      </c>
      <c r="CP131" s="19">
        <v>0</v>
      </c>
      <c r="CQ131" s="19">
        <v>0</v>
      </c>
      <c r="CR131" s="19">
        <v>0</v>
      </c>
      <c r="CS131" s="19">
        <v>0</v>
      </c>
      <c r="CT131" s="19">
        <v>0</v>
      </c>
      <c r="CU131" s="19">
        <v>0</v>
      </c>
      <c r="CV131" s="19">
        <v>0</v>
      </c>
      <c r="CW131" s="19">
        <v>0</v>
      </c>
      <c r="CX131" s="19">
        <v>0</v>
      </c>
      <c r="CY131" s="19">
        <v>0</v>
      </c>
      <c r="CZ131" s="19">
        <v>0</v>
      </c>
      <c r="DA131" s="19">
        <v>0</v>
      </c>
      <c r="DB131" s="19">
        <v>0</v>
      </c>
      <c r="DC131" s="19">
        <v>0</v>
      </c>
      <c r="DD131" s="19">
        <v>0</v>
      </c>
      <c r="DE131" s="19">
        <v>0</v>
      </c>
      <c r="DF131" s="19">
        <v>0</v>
      </c>
      <c r="DG131" s="19">
        <v>0</v>
      </c>
      <c r="DH131" s="19">
        <v>0</v>
      </c>
      <c r="DI131" s="19">
        <v>0</v>
      </c>
      <c r="DJ131" s="21">
        <v>20130</v>
      </c>
      <c r="DK131" s="19">
        <v>0</v>
      </c>
      <c r="DL131" s="19">
        <v>0</v>
      </c>
      <c r="DM131" s="19">
        <v>0</v>
      </c>
      <c r="DN131" s="19">
        <v>0</v>
      </c>
      <c r="DO131" s="19">
        <v>0</v>
      </c>
      <c r="DP131" s="19">
        <v>0</v>
      </c>
      <c r="DQ131" s="19">
        <v>0</v>
      </c>
      <c r="DR131" s="19">
        <v>0</v>
      </c>
      <c r="DS131" s="19">
        <v>0</v>
      </c>
      <c r="DT131" s="22">
        <v>0.14000000000000001</v>
      </c>
    </row>
    <row r="132" spans="1:124" x14ac:dyDescent="0.35">
      <c r="A132" s="19" t="s">
        <v>248</v>
      </c>
      <c r="B132" s="19" t="s">
        <v>258</v>
      </c>
      <c r="C132" s="19">
        <v>326234.21080627479</v>
      </c>
      <c r="D132" s="19">
        <v>52197.473729003963</v>
      </c>
      <c r="E132" s="20">
        <v>598429</v>
      </c>
      <c r="F132" s="19">
        <v>0</v>
      </c>
      <c r="G132" s="19">
        <v>324</v>
      </c>
      <c r="H132" s="19">
        <v>98</v>
      </c>
      <c r="I132" s="19">
        <v>496842</v>
      </c>
      <c r="J132" s="19">
        <v>0</v>
      </c>
      <c r="K132" s="19">
        <v>73</v>
      </c>
      <c r="L132" s="19">
        <v>15</v>
      </c>
      <c r="M132" s="19">
        <v>24628</v>
      </c>
      <c r="N132" s="19">
        <v>259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300</v>
      </c>
      <c r="U132" s="19">
        <v>75515</v>
      </c>
      <c r="V132" s="19">
        <v>0</v>
      </c>
      <c r="W132" s="19">
        <v>251</v>
      </c>
      <c r="X132" s="19">
        <v>0</v>
      </c>
      <c r="Y132" s="19">
        <v>29</v>
      </c>
      <c r="Z132" s="19">
        <v>95</v>
      </c>
      <c r="AA132" s="19">
        <v>0</v>
      </c>
      <c r="AB132" s="19">
        <v>0</v>
      </c>
      <c r="AC132" s="19">
        <v>0</v>
      </c>
      <c r="AD132" s="19">
        <v>16027.866153846155</v>
      </c>
      <c r="AE132" s="19">
        <v>4968.42</v>
      </c>
      <c r="AF132" s="19">
        <v>4925.6000000000004</v>
      </c>
      <c r="AG132" s="19">
        <v>325</v>
      </c>
      <c r="AH132" s="19">
        <v>5808.8461538461543</v>
      </c>
      <c r="AI132" s="19">
        <v>0</v>
      </c>
      <c r="AJ132" s="19">
        <v>0</v>
      </c>
      <c r="AK132" s="19">
        <v>14773</v>
      </c>
      <c r="AL132" s="19">
        <v>4141</v>
      </c>
      <c r="AM132" s="19">
        <v>5125</v>
      </c>
      <c r="AN132" s="19">
        <v>1022</v>
      </c>
      <c r="AO132" s="19">
        <v>4485</v>
      </c>
      <c r="AP132" s="19">
        <v>0</v>
      </c>
      <c r="AQ132" s="19">
        <v>0</v>
      </c>
      <c r="AR132" s="19">
        <v>2472</v>
      </c>
      <c r="AS132" s="19">
        <v>325</v>
      </c>
      <c r="AT132" s="19">
        <v>0</v>
      </c>
      <c r="AU132" s="19">
        <v>0</v>
      </c>
      <c r="AV132" s="19">
        <v>0</v>
      </c>
      <c r="AW132" s="19">
        <v>1964</v>
      </c>
      <c r="AX132" s="19">
        <v>0</v>
      </c>
      <c r="AY132" s="19">
        <v>0</v>
      </c>
      <c r="AZ132" s="19">
        <v>5</v>
      </c>
      <c r="BA132" s="19">
        <v>0</v>
      </c>
      <c r="BB132" s="19">
        <v>0</v>
      </c>
      <c r="BC132" s="19">
        <v>0</v>
      </c>
      <c r="BD132" s="19">
        <v>5</v>
      </c>
      <c r="BE132" s="19">
        <v>0</v>
      </c>
      <c r="BF132" s="19">
        <v>0</v>
      </c>
      <c r="BG132" s="19">
        <v>0</v>
      </c>
      <c r="BH132" s="19">
        <v>114</v>
      </c>
      <c r="BI132" s="19">
        <v>61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1</v>
      </c>
      <c r="BQ132" s="19">
        <v>1</v>
      </c>
      <c r="BR132" s="19">
        <v>0</v>
      </c>
      <c r="BS132" s="19">
        <v>0</v>
      </c>
      <c r="BT132" s="19">
        <v>0</v>
      </c>
      <c r="BU132" s="19">
        <v>0</v>
      </c>
      <c r="BV132" s="19">
        <v>0</v>
      </c>
      <c r="BW132" s="19">
        <v>0</v>
      </c>
      <c r="BX132" s="19">
        <v>0</v>
      </c>
      <c r="BY132" s="19">
        <v>0</v>
      </c>
      <c r="BZ132" s="19">
        <v>0</v>
      </c>
      <c r="CA132" s="19">
        <v>0</v>
      </c>
      <c r="CB132" s="19">
        <v>0</v>
      </c>
      <c r="CC132" s="19">
        <v>0</v>
      </c>
      <c r="CD132" s="19">
        <v>0</v>
      </c>
      <c r="CE132" s="19">
        <v>0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19">
        <v>0</v>
      </c>
      <c r="CL132" s="19">
        <v>0</v>
      </c>
      <c r="CM132" s="19">
        <v>0</v>
      </c>
      <c r="CN132" s="19">
        <v>0</v>
      </c>
      <c r="CO132" s="19">
        <v>0</v>
      </c>
      <c r="CP132" s="19">
        <v>0</v>
      </c>
      <c r="CQ132" s="19">
        <v>0</v>
      </c>
      <c r="CR132" s="19">
        <v>0</v>
      </c>
      <c r="CS132" s="19">
        <v>0</v>
      </c>
      <c r="CT132" s="19">
        <v>0</v>
      </c>
      <c r="CU132" s="19">
        <v>1</v>
      </c>
      <c r="CV132" s="19">
        <v>0</v>
      </c>
      <c r="CW132" s="19">
        <v>0</v>
      </c>
      <c r="CX132" s="19">
        <v>0</v>
      </c>
      <c r="CY132" s="19">
        <v>0</v>
      </c>
      <c r="CZ132" s="19">
        <v>0</v>
      </c>
      <c r="DA132" s="19">
        <v>0</v>
      </c>
      <c r="DB132" s="19">
        <v>0</v>
      </c>
      <c r="DC132" s="19">
        <v>0</v>
      </c>
      <c r="DD132" s="19">
        <v>0</v>
      </c>
      <c r="DE132" s="19">
        <v>0</v>
      </c>
      <c r="DF132" s="19">
        <v>0</v>
      </c>
      <c r="DG132" s="19">
        <v>0</v>
      </c>
      <c r="DH132" s="19">
        <v>0</v>
      </c>
      <c r="DI132" s="19">
        <v>0</v>
      </c>
      <c r="DJ132" s="21">
        <v>20218</v>
      </c>
      <c r="DK132" s="19">
        <v>7942234</v>
      </c>
      <c r="DL132" s="19">
        <v>3072308</v>
      </c>
      <c r="DM132" s="19">
        <v>0</v>
      </c>
      <c r="DN132" s="19">
        <v>2823512</v>
      </c>
      <c r="DO132" s="19">
        <v>50815</v>
      </c>
      <c r="DP132" s="19">
        <v>263162</v>
      </c>
      <c r="DQ132" s="19">
        <v>0</v>
      </c>
      <c r="DR132" s="19">
        <v>1725755</v>
      </c>
      <c r="DS132" s="19">
        <v>6682</v>
      </c>
      <c r="DT132" s="22">
        <v>0.1</v>
      </c>
    </row>
    <row r="133" spans="1:124" x14ac:dyDescent="0.35">
      <c r="A133" s="19" t="s">
        <v>248</v>
      </c>
      <c r="B133" s="19" t="s">
        <v>259</v>
      </c>
      <c r="C133" s="19">
        <v>219325.74424707101</v>
      </c>
      <c r="D133" s="19">
        <v>35092.11907953136</v>
      </c>
      <c r="E133" s="20">
        <v>4179</v>
      </c>
      <c r="F133" s="19">
        <v>0</v>
      </c>
      <c r="G133" s="19">
        <v>0</v>
      </c>
      <c r="H133" s="19">
        <v>100</v>
      </c>
      <c r="I133" s="19">
        <v>108</v>
      </c>
      <c r="J133" s="19">
        <v>0</v>
      </c>
      <c r="K133" s="19">
        <v>21</v>
      </c>
      <c r="L133" s="19">
        <v>0</v>
      </c>
      <c r="M133" s="19">
        <v>2851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280</v>
      </c>
      <c r="U133" s="19">
        <v>397</v>
      </c>
      <c r="V133" s="19">
        <v>0</v>
      </c>
      <c r="W133" s="19">
        <v>0</v>
      </c>
      <c r="X133" s="19">
        <v>0</v>
      </c>
      <c r="Y133" s="19">
        <v>422</v>
      </c>
      <c r="Z133" s="19">
        <v>0</v>
      </c>
      <c r="AA133" s="19">
        <v>0</v>
      </c>
      <c r="AB133" s="19">
        <v>0</v>
      </c>
      <c r="AC133" s="19">
        <v>0</v>
      </c>
      <c r="AD133" s="19">
        <v>601.81846153846163</v>
      </c>
      <c r="AE133" s="19">
        <v>1.08</v>
      </c>
      <c r="AF133" s="19">
        <v>570.20000000000005</v>
      </c>
      <c r="AG133" s="19">
        <v>0</v>
      </c>
      <c r="AH133" s="19">
        <v>30.53846153846154</v>
      </c>
      <c r="AI133" s="19">
        <v>0</v>
      </c>
      <c r="AJ133" s="19">
        <v>0</v>
      </c>
      <c r="AK133" s="19">
        <v>705</v>
      </c>
      <c r="AL133" s="19">
        <v>1</v>
      </c>
      <c r="AM133" s="19">
        <v>680</v>
      </c>
      <c r="AN133" s="19">
        <v>0</v>
      </c>
      <c r="AO133" s="19">
        <v>24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1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>
        <v>0</v>
      </c>
      <c r="BW133" s="19">
        <v>0</v>
      </c>
      <c r="BX133" s="19">
        <v>0</v>
      </c>
      <c r="BY133" s="19">
        <v>0</v>
      </c>
      <c r="BZ133" s="19">
        <v>0</v>
      </c>
      <c r="CA133" s="19">
        <v>0</v>
      </c>
      <c r="CB133" s="19">
        <v>0</v>
      </c>
      <c r="CC133" s="19">
        <v>0</v>
      </c>
      <c r="CD133" s="19">
        <v>0</v>
      </c>
      <c r="CE133" s="19">
        <v>0</v>
      </c>
      <c r="CF133" s="19">
        <v>0</v>
      </c>
      <c r="CG133" s="19">
        <v>0</v>
      </c>
      <c r="CH133" s="19">
        <v>0</v>
      </c>
      <c r="CI133" s="19">
        <v>0</v>
      </c>
      <c r="CJ133" s="19">
        <v>0</v>
      </c>
      <c r="CK133" s="19">
        <v>0</v>
      </c>
      <c r="CL133" s="19">
        <v>0</v>
      </c>
      <c r="CM133" s="19">
        <v>0</v>
      </c>
      <c r="CN133" s="19">
        <v>0</v>
      </c>
      <c r="CO133" s="19">
        <v>0</v>
      </c>
      <c r="CP133" s="19">
        <v>0</v>
      </c>
      <c r="CQ133" s="19">
        <v>0</v>
      </c>
      <c r="CR133" s="19">
        <v>0</v>
      </c>
      <c r="CS133" s="19">
        <v>0</v>
      </c>
      <c r="CT133" s="19">
        <v>0</v>
      </c>
      <c r="CU133" s="19">
        <v>0</v>
      </c>
      <c r="CV133" s="19">
        <v>0</v>
      </c>
      <c r="CW133" s="19">
        <v>0</v>
      </c>
      <c r="CX133" s="19">
        <v>0</v>
      </c>
      <c r="CY133" s="19">
        <v>0</v>
      </c>
      <c r="CZ133" s="19">
        <v>0</v>
      </c>
      <c r="DA133" s="19">
        <v>0</v>
      </c>
      <c r="DB133" s="19">
        <v>0</v>
      </c>
      <c r="DC133" s="19">
        <v>0</v>
      </c>
      <c r="DD133" s="19">
        <v>0</v>
      </c>
      <c r="DE133" s="19">
        <v>0</v>
      </c>
      <c r="DF133" s="19">
        <v>0</v>
      </c>
      <c r="DG133" s="19">
        <v>0</v>
      </c>
      <c r="DH133" s="19">
        <v>0</v>
      </c>
      <c r="DI133" s="19">
        <v>0</v>
      </c>
      <c r="DJ133" s="21">
        <v>20221</v>
      </c>
      <c r="DK133" s="19">
        <v>607096</v>
      </c>
      <c r="DL133" s="19">
        <v>368</v>
      </c>
      <c r="DM133" s="19">
        <v>0</v>
      </c>
      <c r="DN133" s="19">
        <v>409967</v>
      </c>
      <c r="DO133" s="19">
        <v>0</v>
      </c>
      <c r="DP133" s="19">
        <v>187634</v>
      </c>
      <c r="DQ133" s="19">
        <v>0</v>
      </c>
      <c r="DR133" s="19">
        <v>9127</v>
      </c>
      <c r="DS133" s="19">
        <v>0</v>
      </c>
      <c r="DT133" s="22">
        <v>0.11</v>
      </c>
    </row>
    <row r="134" spans="1:124" x14ac:dyDescent="0.35">
      <c r="A134" s="19" t="s">
        <v>248</v>
      </c>
      <c r="B134" s="19" t="s">
        <v>260</v>
      </c>
      <c r="C134" s="19">
        <v>477409.44744909671</v>
      </c>
      <c r="D134" s="19">
        <v>76385.51159185548</v>
      </c>
      <c r="E134" s="20">
        <v>13083</v>
      </c>
      <c r="F134" s="19">
        <v>0</v>
      </c>
      <c r="G134" s="19">
        <v>0</v>
      </c>
      <c r="H134" s="19">
        <v>0</v>
      </c>
      <c r="I134" s="19">
        <v>11573</v>
      </c>
      <c r="J134" s="19">
        <v>0</v>
      </c>
      <c r="K134" s="19">
        <v>9</v>
      </c>
      <c r="L134" s="19">
        <v>0</v>
      </c>
      <c r="M134" s="19">
        <v>396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1105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279.93</v>
      </c>
      <c r="AE134" s="19">
        <v>115.73</v>
      </c>
      <c r="AF134" s="19">
        <v>79.2</v>
      </c>
      <c r="AG134" s="19">
        <v>0</v>
      </c>
      <c r="AH134" s="19">
        <v>85</v>
      </c>
      <c r="AI134" s="19">
        <v>0</v>
      </c>
      <c r="AJ134" s="19">
        <v>0</v>
      </c>
      <c r="AK134" s="19">
        <v>266</v>
      </c>
      <c r="AL134" s="19">
        <v>98</v>
      </c>
      <c r="AM134" s="19">
        <v>97</v>
      </c>
      <c r="AN134" s="19">
        <v>0</v>
      </c>
      <c r="AO134" s="19">
        <v>71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7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>
        <v>0</v>
      </c>
      <c r="BW134" s="19">
        <v>0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0</v>
      </c>
      <c r="CD134" s="19">
        <v>0</v>
      </c>
      <c r="CE134" s="19">
        <v>0</v>
      </c>
      <c r="CF134" s="19">
        <v>0</v>
      </c>
      <c r="CG134" s="19">
        <v>0</v>
      </c>
      <c r="CH134" s="19">
        <v>0</v>
      </c>
      <c r="CI134" s="19">
        <v>0</v>
      </c>
      <c r="CJ134" s="19">
        <v>0</v>
      </c>
      <c r="CK134" s="19">
        <v>0</v>
      </c>
      <c r="CL134" s="19">
        <v>0</v>
      </c>
      <c r="CM134" s="19">
        <v>0</v>
      </c>
      <c r="CN134" s="19">
        <v>0</v>
      </c>
      <c r="CO134" s="19">
        <v>0</v>
      </c>
      <c r="CP134" s="19">
        <v>0</v>
      </c>
      <c r="CQ134" s="19">
        <v>0</v>
      </c>
      <c r="CR134" s="19">
        <v>0</v>
      </c>
      <c r="CS134" s="19">
        <v>0</v>
      </c>
      <c r="CT134" s="19">
        <v>0</v>
      </c>
      <c r="CU134" s="19">
        <v>1</v>
      </c>
      <c r="CV134" s="19">
        <v>0</v>
      </c>
      <c r="CW134" s="19">
        <v>0</v>
      </c>
      <c r="CX134" s="19">
        <v>0</v>
      </c>
      <c r="CY134" s="19">
        <v>0</v>
      </c>
      <c r="CZ134" s="19">
        <v>0</v>
      </c>
      <c r="DA134" s="19">
        <v>0</v>
      </c>
      <c r="DB134" s="19">
        <v>0</v>
      </c>
      <c r="DC134" s="19">
        <v>0</v>
      </c>
      <c r="DD134" s="19">
        <v>0</v>
      </c>
      <c r="DE134" s="19">
        <v>0</v>
      </c>
      <c r="DF134" s="19">
        <v>0</v>
      </c>
      <c r="DG134" s="19">
        <v>0</v>
      </c>
      <c r="DH134" s="19">
        <v>0</v>
      </c>
      <c r="DI134" s="19">
        <v>0</v>
      </c>
      <c r="DJ134" s="21">
        <v>20220</v>
      </c>
      <c r="DK134" s="19">
        <v>146095</v>
      </c>
      <c r="DL134" s="19">
        <v>69661</v>
      </c>
      <c r="DM134" s="19">
        <v>0</v>
      </c>
      <c r="DN134" s="19">
        <v>45364</v>
      </c>
      <c r="DO134" s="19">
        <v>0</v>
      </c>
      <c r="DP134" s="19">
        <v>10265</v>
      </c>
      <c r="DQ134" s="19">
        <v>0</v>
      </c>
      <c r="DR134" s="19">
        <v>20805</v>
      </c>
      <c r="DS134" s="19">
        <v>0</v>
      </c>
      <c r="DT134" s="22">
        <v>0.12</v>
      </c>
    </row>
    <row r="135" spans="1:124" x14ac:dyDescent="0.35">
      <c r="A135" s="19" t="s">
        <v>248</v>
      </c>
      <c r="B135" s="19" t="s">
        <v>261</v>
      </c>
      <c r="C135" s="19">
        <v>985600.50947029865</v>
      </c>
      <c r="D135" s="19">
        <v>157696.08151524779</v>
      </c>
      <c r="E135" s="20">
        <v>260083</v>
      </c>
      <c r="F135" s="19">
        <v>0</v>
      </c>
      <c r="G135" s="19">
        <v>0</v>
      </c>
      <c r="H135" s="19">
        <v>0</v>
      </c>
      <c r="I135" s="19">
        <v>202538</v>
      </c>
      <c r="J135" s="19">
        <v>0</v>
      </c>
      <c r="K135" s="19">
        <v>8</v>
      </c>
      <c r="L135" s="19">
        <v>0</v>
      </c>
      <c r="M135" s="19">
        <v>8843</v>
      </c>
      <c r="N135" s="19">
        <v>6</v>
      </c>
      <c r="O135" s="19">
        <v>0</v>
      </c>
      <c r="P135" s="19">
        <v>0</v>
      </c>
      <c r="Q135" s="19">
        <v>0</v>
      </c>
      <c r="R135" s="19">
        <v>1</v>
      </c>
      <c r="S135" s="19">
        <v>0</v>
      </c>
      <c r="T135" s="19">
        <v>0</v>
      </c>
      <c r="U135" s="19">
        <v>48683</v>
      </c>
      <c r="V135" s="19">
        <v>0</v>
      </c>
      <c r="W135" s="19">
        <v>0</v>
      </c>
      <c r="X135" s="19">
        <v>0</v>
      </c>
      <c r="Y135" s="19">
        <v>4</v>
      </c>
      <c r="Z135" s="19">
        <v>0</v>
      </c>
      <c r="AA135" s="19">
        <v>0</v>
      </c>
      <c r="AB135" s="19">
        <v>0</v>
      </c>
      <c r="AC135" s="19">
        <v>0</v>
      </c>
      <c r="AD135" s="19">
        <v>7538.8261538461538</v>
      </c>
      <c r="AE135" s="19">
        <v>2025.38</v>
      </c>
      <c r="AF135" s="19">
        <v>1768.6</v>
      </c>
      <c r="AG135" s="19">
        <v>0</v>
      </c>
      <c r="AH135" s="19">
        <v>3744.8461538461538</v>
      </c>
      <c r="AI135" s="19">
        <v>0</v>
      </c>
      <c r="AJ135" s="19">
        <v>0</v>
      </c>
      <c r="AK135" s="19">
        <v>6629</v>
      </c>
      <c r="AL135" s="19">
        <v>1689</v>
      </c>
      <c r="AM135" s="19">
        <v>2124</v>
      </c>
      <c r="AN135" s="19">
        <v>20</v>
      </c>
      <c r="AO135" s="19">
        <v>2796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1</v>
      </c>
      <c r="BA135" s="19">
        <v>0</v>
      </c>
      <c r="BB135" s="19">
        <v>1</v>
      </c>
      <c r="BC135" s="19">
        <v>0</v>
      </c>
      <c r="BD135" s="19">
        <v>2</v>
      </c>
      <c r="BE135" s="19">
        <v>0</v>
      </c>
      <c r="BF135" s="19">
        <v>0</v>
      </c>
      <c r="BG135" s="19">
        <v>0</v>
      </c>
      <c r="BH135" s="19">
        <v>55</v>
      </c>
      <c r="BI135" s="19">
        <v>0</v>
      </c>
      <c r="BJ135" s="19">
        <v>0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1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>
        <v>0</v>
      </c>
      <c r="BW135" s="19">
        <v>0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0</v>
      </c>
      <c r="CD135" s="19">
        <v>0</v>
      </c>
      <c r="CE135" s="19">
        <v>0</v>
      </c>
      <c r="CF135" s="19">
        <v>0</v>
      </c>
      <c r="CG135" s="19">
        <v>0</v>
      </c>
      <c r="CH135" s="19">
        <v>0</v>
      </c>
      <c r="CI135" s="19">
        <v>0</v>
      </c>
      <c r="CJ135" s="19">
        <v>0</v>
      </c>
      <c r="CK135" s="19">
        <v>0</v>
      </c>
      <c r="CL135" s="19">
        <v>0</v>
      </c>
      <c r="CM135" s="19">
        <v>0</v>
      </c>
      <c r="CN135" s="19">
        <v>0</v>
      </c>
      <c r="CO135" s="19">
        <v>0</v>
      </c>
      <c r="CP135" s="19">
        <v>0</v>
      </c>
      <c r="CQ135" s="19">
        <v>0</v>
      </c>
      <c r="CR135" s="19">
        <v>0</v>
      </c>
      <c r="CS135" s="19">
        <v>0</v>
      </c>
      <c r="CT135" s="19">
        <v>0</v>
      </c>
      <c r="CU135" s="19">
        <v>0</v>
      </c>
      <c r="CV135" s="19">
        <v>0</v>
      </c>
      <c r="CW135" s="19">
        <v>0</v>
      </c>
      <c r="CX135" s="19">
        <v>0</v>
      </c>
      <c r="CY135" s="19">
        <v>0</v>
      </c>
      <c r="CZ135" s="19">
        <v>0</v>
      </c>
      <c r="DA135" s="19">
        <v>0</v>
      </c>
      <c r="DB135" s="19">
        <v>0</v>
      </c>
      <c r="DC135" s="19">
        <v>0</v>
      </c>
      <c r="DD135" s="19">
        <v>0</v>
      </c>
      <c r="DE135" s="19">
        <v>0</v>
      </c>
      <c r="DF135" s="19">
        <v>0</v>
      </c>
      <c r="DG135" s="19">
        <v>0</v>
      </c>
      <c r="DH135" s="19">
        <v>0</v>
      </c>
      <c r="DI135" s="19">
        <v>0</v>
      </c>
      <c r="DJ135" s="21">
        <v>20230</v>
      </c>
      <c r="DK135" s="19">
        <v>5033489</v>
      </c>
      <c r="DL135" s="19">
        <v>2891035</v>
      </c>
      <c r="DM135" s="19">
        <v>0</v>
      </c>
      <c r="DN135" s="19">
        <v>1143188</v>
      </c>
      <c r="DO135" s="19">
        <v>0</v>
      </c>
      <c r="DP135" s="19">
        <v>12661</v>
      </c>
      <c r="DQ135" s="19">
        <v>0</v>
      </c>
      <c r="DR135" s="19">
        <v>986605</v>
      </c>
      <c r="DS135" s="19">
        <v>0</v>
      </c>
      <c r="DT135" s="22">
        <v>0.12</v>
      </c>
    </row>
    <row r="136" spans="1:124" x14ac:dyDescent="0.35">
      <c r="A136" s="19" t="s">
        <v>248</v>
      </c>
      <c r="B136" s="19" t="s">
        <v>262</v>
      </c>
      <c r="C136" s="19">
        <v>280781.126658144</v>
      </c>
      <c r="D136" s="19">
        <v>44924.980265303042</v>
      </c>
      <c r="E136" s="20">
        <v>64571</v>
      </c>
      <c r="F136" s="19">
        <v>0</v>
      </c>
      <c r="G136" s="19">
        <v>15</v>
      </c>
      <c r="H136" s="19">
        <v>0</v>
      </c>
      <c r="I136" s="19">
        <v>61131</v>
      </c>
      <c r="J136" s="19">
        <v>0</v>
      </c>
      <c r="K136" s="19">
        <v>0</v>
      </c>
      <c r="L136" s="19">
        <v>0</v>
      </c>
      <c r="M136" s="19">
        <v>2276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1149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1154.8946153846155</v>
      </c>
      <c r="AE136" s="19">
        <v>611.30999999999995</v>
      </c>
      <c r="AF136" s="19">
        <v>455.2</v>
      </c>
      <c r="AG136" s="19">
        <v>0</v>
      </c>
      <c r="AH136" s="19">
        <v>88.384615384615387</v>
      </c>
      <c r="AI136" s="19">
        <v>0</v>
      </c>
      <c r="AJ136" s="19">
        <v>0</v>
      </c>
      <c r="AK136" s="19">
        <v>1155</v>
      </c>
      <c r="AL136" s="19">
        <v>509</v>
      </c>
      <c r="AM136" s="19">
        <v>570</v>
      </c>
      <c r="AN136" s="19">
        <v>0</v>
      </c>
      <c r="AO136" s="19">
        <v>76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21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>
        <v>0</v>
      </c>
      <c r="BW136" s="19">
        <v>0</v>
      </c>
      <c r="BX136" s="19">
        <v>0</v>
      </c>
      <c r="BY136" s="19">
        <v>0</v>
      </c>
      <c r="BZ136" s="19">
        <v>0</v>
      </c>
      <c r="CA136" s="19">
        <v>0</v>
      </c>
      <c r="CB136" s="19">
        <v>0</v>
      </c>
      <c r="CC136" s="19">
        <v>0</v>
      </c>
      <c r="CD136" s="19">
        <v>0</v>
      </c>
      <c r="CE136" s="19">
        <v>0</v>
      </c>
      <c r="CF136" s="19">
        <v>0</v>
      </c>
      <c r="CG136" s="19">
        <v>0</v>
      </c>
      <c r="CH136" s="19">
        <v>0</v>
      </c>
      <c r="CI136" s="19">
        <v>0</v>
      </c>
      <c r="CJ136" s="19">
        <v>0</v>
      </c>
      <c r="CK136" s="19">
        <v>0</v>
      </c>
      <c r="CL136" s="19">
        <v>0</v>
      </c>
      <c r="CM136" s="19">
        <v>0</v>
      </c>
      <c r="CN136" s="19">
        <v>0</v>
      </c>
      <c r="CO136" s="19">
        <v>0</v>
      </c>
      <c r="CP136" s="19">
        <v>0</v>
      </c>
      <c r="CQ136" s="19">
        <v>0</v>
      </c>
      <c r="CR136" s="19">
        <v>0</v>
      </c>
      <c r="CS136" s="19">
        <v>0</v>
      </c>
      <c r="CT136" s="19">
        <v>0</v>
      </c>
      <c r="CU136" s="19">
        <v>0</v>
      </c>
      <c r="CV136" s="19">
        <v>0</v>
      </c>
      <c r="CW136" s="19">
        <v>0</v>
      </c>
      <c r="CX136" s="19">
        <v>0</v>
      </c>
      <c r="CY136" s="19">
        <v>0</v>
      </c>
      <c r="CZ136" s="19">
        <v>0</v>
      </c>
      <c r="DA136" s="19">
        <v>0</v>
      </c>
      <c r="DB136" s="19">
        <v>0</v>
      </c>
      <c r="DC136" s="19">
        <v>0</v>
      </c>
      <c r="DD136" s="19">
        <v>0</v>
      </c>
      <c r="DE136" s="19">
        <v>0</v>
      </c>
      <c r="DF136" s="19">
        <v>0</v>
      </c>
      <c r="DG136" s="19">
        <v>0</v>
      </c>
      <c r="DH136" s="19">
        <v>0</v>
      </c>
      <c r="DI136" s="19">
        <v>0</v>
      </c>
      <c r="DJ136" s="21">
        <v>20227</v>
      </c>
      <c r="DK136" s="19">
        <v>738368</v>
      </c>
      <c r="DL136" s="19">
        <v>424818</v>
      </c>
      <c r="DM136" s="19">
        <v>0</v>
      </c>
      <c r="DN136" s="19">
        <v>284612</v>
      </c>
      <c r="DO136" s="19">
        <v>0</v>
      </c>
      <c r="DP136" s="19">
        <v>0</v>
      </c>
      <c r="DQ136" s="19">
        <v>0</v>
      </c>
      <c r="DR136" s="19">
        <v>28602</v>
      </c>
      <c r="DS136" s="19">
        <v>336</v>
      </c>
      <c r="DT136" s="22">
        <v>0.1</v>
      </c>
    </row>
    <row r="137" spans="1:124" x14ac:dyDescent="0.35">
      <c r="A137" s="19" t="s">
        <v>248</v>
      </c>
      <c r="B137" s="19" t="s">
        <v>263</v>
      </c>
      <c r="C137" s="19">
        <v>1075462.7213897894</v>
      </c>
      <c r="D137" s="19">
        <v>172074.03542236629</v>
      </c>
      <c r="E137" s="20">
        <v>502141</v>
      </c>
      <c r="F137" s="19">
        <v>-1</v>
      </c>
      <c r="G137" s="19">
        <v>4229</v>
      </c>
      <c r="H137" s="19">
        <v>0</v>
      </c>
      <c r="I137" s="19">
        <v>473553</v>
      </c>
      <c r="J137" s="19">
        <v>5</v>
      </c>
      <c r="K137" s="19">
        <v>0</v>
      </c>
      <c r="L137" s="19">
        <v>0</v>
      </c>
      <c r="M137" s="19">
        <v>9696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14641</v>
      </c>
      <c r="V137" s="19">
        <v>0</v>
      </c>
      <c r="W137" s="19">
        <v>0</v>
      </c>
      <c r="X137" s="19">
        <v>0</v>
      </c>
      <c r="Y137" s="19">
        <v>8</v>
      </c>
      <c r="Z137" s="19">
        <v>10</v>
      </c>
      <c r="AA137" s="19">
        <v>0</v>
      </c>
      <c r="AB137" s="19">
        <v>0</v>
      </c>
      <c r="AC137" s="19">
        <v>0</v>
      </c>
      <c r="AD137" s="19">
        <v>7800.9607692307691</v>
      </c>
      <c r="AE137" s="19">
        <v>4735.53</v>
      </c>
      <c r="AF137" s="19">
        <v>1939.2</v>
      </c>
      <c r="AG137" s="19">
        <v>0</v>
      </c>
      <c r="AH137" s="19">
        <v>1126.2307692307693</v>
      </c>
      <c r="AI137" s="19">
        <v>0</v>
      </c>
      <c r="AJ137" s="19">
        <v>0</v>
      </c>
      <c r="AK137" s="19">
        <v>7072</v>
      </c>
      <c r="AL137" s="19">
        <v>3947</v>
      </c>
      <c r="AM137" s="19">
        <v>2343</v>
      </c>
      <c r="AN137" s="19">
        <v>0</v>
      </c>
      <c r="AO137" s="19">
        <v>782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58</v>
      </c>
      <c r="BI137" s="19">
        <v>4</v>
      </c>
      <c r="BJ137" s="19">
        <v>0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1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>
        <v>0</v>
      </c>
      <c r="BW137" s="19">
        <v>0</v>
      </c>
      <c r="BX137" s="19">
        <v>0</v>
      </c>
      <c r="BY137" s="19">
        <v>0</v>
      </c>
      <c r="BZ137" s="19">
        <v>0</v>
      </c>
      <c r="CA137" s="19">
        <v>0</v>
      </c>
      <c r="CB137" s="19">
        <v>0</v>
      </c>
      <c r="CC137" s="19">
        <v>0</v>
      </c>
      <c r="CD137" s="19">
        <v>0</v>
      </c>
      <c r="CE137" s="19">
        <v>0</v>
      </c>
      <c r="CF137" s="19">
        <v>0</v>
      </c>
      <c r="CG137" s="19">
        <v>0</v>
      </c>
      <c r="CH137" s="19">
        <v>0</v>
      </c>
      <c r="CI137" s="19">
        <v>0</v>
      </c>
      <c r="CJ137" s="19">
        <v>0</v>
      </c>
      <c r="CK137" s="19">
        <v>0</v>
      </c>
      <c r="CL137" s="19">
        <v>0</v>
      </c>
      <c r="CM137" s="19">
        <v>0</v>
      </c>
      <c r="CN137" s="19">
        <v>0</v>
      </c>
      <c r="CO137" s="19">
        <v>0</v>
      </c>
      <c r="CP137" s="19">
        <v>0</v>
      </c>
      <c r="CQ137" s="19">
        <v>0</v>
      </c>
      <c r="CR137" s="19">
        <v>0</v>
      </c>
      <c r="CS137" s="19">
        <v>0</v>
      </c>
      <c r="CT137" s="19">
        <v>0</v>
      </c>
      <c r="CU137" s="19">
        <v>1</v>
      </c>
      <c r="CV137" s="19">
        <v>0</v>
      </c>
      <c r="CW137" s="19">
        <v>0</v>
      </c>
      <c r="CX137" s="19">
        <v>0</v>
      </c>
      <c r="CY137" s="19">
        <v>0</v>
      </c>
      <c r="CZ137" s="19">
        <v>0</v>
      </c>
      <c r="DA137" s="19">
        <v>0</v>
      </c>
      <c r="DB137" s="19">
        <v>0</v>
      </c>
      <c r="DC137" s="19">
        <v>0</v>
      </c>
      <c r="DD137" s="19">
        <v>0</v>
      </c>
      <c r="DE137" s="19">
        <v>0</v>
      </c>
      <c r="DF137" s="19">
        <v>0</v>
      </c>
      <c r="DG137" s="19">
        <v>0</v>
      </c>
      <c r="DH137" s="19">
        <v>0</v>
      </c>
      <c r="DI137" s="19">
        <v>0</v>
      </c>
      <c r="DJ137" s="21">
        <v>20225</v>
      </c>
      <c r="DK137" s="19">
        <v>8886904</v>
      </c>
      <c r="DL137" s="19">
        <v>7334591</v>
      </c>
      <c r="DM137" s="19">
        <v>0</v>
      </c>
      <c r="DN137" s="19">
        <v>1169739</v>
      </c>
      <c r="DO137" s="19">
        <v>0</v>
      </c>
      <c r="DP137" s="19">
        <v>3746</v>
      </c>
      <c r="DQ137" s="19">
        <v>833</v>
      </c>
      <c r="DR137" s="19">
        <v>286286</v>
      </c>
      <c r="DS137" s="19">
        <v>91709</v>
      </c>
      <c r="DT137" s="22">
        <v>0.1</v>
      </c>
    </row>
    <row r="138" spans="1:124" x14ac:dyDescent="0.35">
      <c r="A138" s="19" t="s">
        <v>248</v>
      </c>
      <c r="B138" s="19" t="s">
        <v>264</v>
      </c>
      <c r="C138" s="19">
        <v>280638.76897040248</v>
      </c>
      <c r="D138" s="19">
        <v>44902.2030352644</v>
      </c>
      <c r="E138" s="20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>
        <v>0</v>
      </c>
      <c r="BM138" s="19">
        <v>0</v>
      </c>
      <c r="BN138" s="19">
        <v>0</v>
      </c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>
        <v>0</v>
      </c>
      <c r="BW138" s="19">
        <v>0</v>
      </c>
      <c r="BX138" s="19">
        <v>0</v>
      </c>
      <c r="BY138" s="19">
        <v>0</v>
      </c>
      <c r="BZ138" s="19">
        <v>0</v>
      </c>
      <c r="CA138" s="19">
        <v>0</v>
      </c>
      <c r="CB138" s="19">
        <v>0</v>
      </c>
      <c r="CC138" s="19">
        <v>0</v>
      </c>
      <c r="CD138" s="19">
        <v>0</v>
      </c>
      <c r="CE138" s="19">
        <v>0</v>
      </c>
      <c r="CF138" s="19">
        <v>0</v>
      </c>
      <c r="CG138" s="19">
        <v>0</v>
      </c>
      <c r="CH138" s="19">
        <v>0</v>
      </c>
      <c r="CI138" s="19">
        <v>0</v>
      </c>
      <c r="CJ138" s="19">
        <v>0</v>
      </c>
      <c r="CK138" s="19">
        <v>0</v>
      </c>
      <c r="CL138" s="19">
        <v>0</v>
      </c>
      <c r="CM138" s="19">
        <v>0</v>
      </c>
      <c r="CN138" s="19">
        <v>0</v>
      </c>
      <c r="CO138" s="19">
        <v>0</v>
      </c>
      <c r="CP138" s="19">
        <v>0</v>
      </c>
      <c r="CQ138" s="19">
        <v>0</v>
      </c>
      <c r="CR138" s="19">
        <v>0</v>
      </c>
      <c r="CS138" s="19">
        <v>0</v>
      </c>
      <c r="CT138" s="19">
        <v>0</v>
      </c>
      <c r="CU138" s="19">
        <v>0</v>
      </c>
      <c r="CV138" s="19">
        <v>0</v>
      </c>
      <c r="CW138" s="19">
        <v>0</v>
      </c>
      <c r="CX138" s="19">
        <v>0</v>
      </c>
      <c r="CY138" s="19">
        <v>0</v>
      </c>
      <c r="CZ138" s="19">
        <v>0</v>
      </c>
      <c r="DA138" s="19">
        <v>0</v>
      </c>
      <c r="DB138" s="19">
        <v>0</v>
      </c>
      <c r="DC138" s="19">
        <v>0</v>
      </c>
      <c r="DD138" s="19">
        <v>0</v>
      </c>
      <c r="DE138" s="19">
        <v>0</v>
      </c>
      <c r="DF138" s="19">
        <v>0</v>
      </c>
      <c r="DG138" s="19">
        <v>0</v>
      </c>
      <c r="DH138" s="19">
        <v>0</v>
      </c>
      <c r="DI138" s="19">
        <v>0</v>
      </c>
      <c r="DJ138" s="21">
        <v>20241</v>
      </c>
      <c r="DK138" s="19">
        <v>0</v>
      </c>
      <c r="DL138" s="19">
        <v>0</v>
      </c>
      <c r="DM138" s="19">
        <v>0</v>
      </c>
      <c r="DN138" s="19">
        <v>0</v>
      </c>
      <c r="DO138" s="19">
        <v>0</v>
      </c>
      <c r="DP138" s="19">
        <v>0</v>
      </c>
      <c r="DQ138" s="19">
        <v>0</v>
      </c>
      <c r="DR138" s="19">
        <v>0</v>
      </c>
      <c r="DS138" s="19">
        <v>0</v>
      </c>
      <c r="DT138" s="22">
        <v>0.13</v>
      </c>
    </row>
    <row r="139" spans="1:124" x14ac:dyDescent="0.35">
      <c r="A139" s="19" t="s">
        <v>248</v>
      </c>
      <c r="B139" s="19" t="s">
        <v>265</v>
      </c>
      <c r="C139" s="19">
        <v>321482.48374423652</v>
      </c>
      <c r="D139" s="19">
        <v>51437.197399077842</v>
      </c>
      <c r="E139" s="20">
        <v>1076308</v>
      </c>
      <c r="F139" s="19">
        <v>2947</v>
      </c>
      <c r="G139" s="19">
        <v>380</v>
      </c>
      <c r="H139" s="19">
        <v>305</v>
      </c>
      <c r="I139" s="19">
        <v>709385</v>
      </c>
      <c r="J139" s="19">
        <v>7</v>
      </c>
      <c r="K139" s="19">
        <v>1304</v>
      </c>
      <c r="L139" s="19">
        <v>15</v>
      </c>
      <c r="M139" s="19">
        <v>45130</v>
      </c>
      <c r="N139" s="19">
        <v>241</v>
      </c>
      <c r="O139" s="19">
        <v>0</v>
      </c>
      <c r="P139" s="19">
        <v>1135</v>
      </c>
      <c r="Q139" s="19">
        <v>0</v>
      </c>
      <c r="R139" s="19">
        <v>0</v>
      </c>
      <c r="S139" s="19">
        <v>0</v>
      </c>
      <c r="T139" s="19">
        <v>0</v>
      </c>
      <c r="U139" s="19">
        <v>282527</v>
      </c>
      <c r="V139" s="19">
        <v>0</v>
      </c>
      <c r="W139" s="19">
        <v>12</v>
      </c>
      <c r="X139" s="19">
        <v>0</v>
      </c>
      <c r="Y139" s="19">
        <v>16974</v>
      </c>
      <c r="Z139" s="19">
        <v>15906</v>
      </c>
      <c r="AA139" s="19">
        <v>0</v>
      </c>
      <c r="AB139" s="19">
        <v>40</v>
      </c>
      <c r="AC139" s="19">
        <v>0</v>
      </c>
      <c r="AD139" s="19">
        <v>39546.696153846147</v>
      </c>
      <c r="AE139" s="19">
        <v>7093.85</v>
      </c>
      <c r="AF139" s="19">
        <v>9026</v>
      </c>
      <c r="AG139" s="19">
        <v>1694</v>
      </c>
      <c r="AH139" s="19">
        <v>21732.846153846152</v>
      </c>
      <c r="AI139" s="19">
        <v>0</v>
      </c>
      <c r="AJ139" s="19">
        <v>0</v>
      </c>
      <c r="AK139" s="19">
        <v>30486</v>
      </c>
      <c r="AL139" s="19">
        <v>5911</v>
      </c>
      <c r="AM139" s="19">
        <v>7810</v>
      </c>
      <c r="AN139" s="19">
        <v>846</v>
      </c>
      <c r="AO139" s="19">
        <v>15919</v>
      </c>
      <c r="AP139" s="19">
        <v>0</v>
      </c>
      <c r="AQ139" s="19">
        <v>0</v>
      </c>
      <c r="AR139" s="19">
        <v>20630</v>
      </c>
      <c r="AS139" s="19">
        <v>1694</v>
      </c>
      <c r="AT139" s="19">
        <v>69</v>
      </c>
      <c r="AU139" s="19">
        <v>20</v>
      </c>
      <c r="AV139" s="19">
        <v>85</v>
      </c>
      <c r="AW139" s="19">
        <v>5399</v>
      </c>
      <c r="AX139" s="19">
        <v>20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187</v>
      </c>
      <c r="BI139" s="19">
        <v>33</v>
      </c>
      <c r="BJ139" s="19">
        <v>0</v>
      </c>
      <c r="BK139" s="19">
        <v>0</v>
      </c>
      <c r="BL139" s="19">
        <v>0</v>
      </c>
      <c r="BM139" s="19">
        <v>0</v>
      </c>
      <c r="BN139" s="19">
        <v>0</v>
      </c>
      <c r="BO139" s="19">
        <v>0</v>
      </c>
      <c r="BP139" s="19">
        <v>1</v>
      </c>
      <c r="BQ139" s="19">
        <v>1</v>
      </c>
      <c r="BR139" s="19">
        <v>0</v>
      </c>
      <c r="BS139" s="19">
        <v>0</v>
      </c>
      <c r="BT139" s="19">
        <v>0</v>
      </c>
      <c r="BU139" s="19">
        <v>0</v>
      </c>
      <c r="BV139" s="19">
        <v>0</v>
      </c>
      <c r="BW139" s="19">
        <v>0</v>
      </c>
      <c r="BX139" s="19">
        <v>0</v>
      </c>
      <c r="BY139" s="19">
        <v>0</v>
      </c>
      <c r="BZ139" s="19">
        <v>0</v>
      </c>
      <c r="CA139" s="19">
        <v>0</v>
      </c>
      <c r="CB139" s="19">
        <v>0</v>
      </c>
      <c r="CC139" s="19">
        <v>0</v>
      </c>
      <c r="CD139" s="19">
        <v>0</v>
      </c>
      <c r="CE139" s="19">
        <v>0</v>
      </c>
      <c r="CF139" s="19">
        <v>1</v>
      </c>
      <c r="CG139" s="19">
        <v>1</v>
      </c>
      <c r="CH139" s="19">
        <v>0</v>
      </c>
      <c r="CI139" s="19">
        <v>0</v>
      </c>
      <c r="CJ139" s="19">
        <v>0</v>
      </c>
      <c r="CK139" s="19">
        <v>0</v>
      </c>
      <c r="CL139" s="19">
        <v>0</v>
      </c>
      <c r="CM139" s="19">
        <v>0</v>
      </c>
      <c r="CN139" s="19">
        <v>0</v>
      </c>
      <c r="CO139" s="19">
        <v>0</v>
      </c>
      <c r="CP139" s="19">
        <v>0</v>
      </c>
      <c r="CQ139" s="19">
        <v>0</v>
      </c>
      <c r="CR139" s="19">
        <v>0</v>
      </c>
      <c r="CS139" s="19">
        <v>0</v>
      </c>
      <c r="CT139" s="19">
        <v>0</v>
      </c>
      <c r="CU139" s="19">
        <v>1</v>
      </c>
      <c r="CV139" s="19">
        <v>0</v>
      </c>
      <c r="CW139" s="19">
        <v>0</v>
      </c>
      <c r="CX139" s="19">
        <v>0</v>
      </c>
      <c r="CY139" s="19">
        <v>0</v>
      </c>
      <c r="CZ139" s="19">
        <v>0</v>
      </c>
      <c r="DA139" s="19">
        <v>0</v>
      </c>
      <c r="DB139" s="19">
        <v>0</v>
      </c>
      <c r="DC139" s="19">
        <v>0</v>
      </c>
      <c r="DD139" s="19">
        <v>0</v>
      </c>
      <c r="DE139" s="19">
        <v>0</v>
      </c>
      <c r="DF139" s="19">
        <v>0</v>
      </c>
      <c r="DG139" s="19">
        <v>0</v>
      </c>
      <c r="DH139" s="19">
        <v>0</v>
      </c>
      <c r="DI139" s="19">
        <v>0</v>
      </c>
      <c r="DJ139" s="21">
        <v>20129</v>
      </c>
      <c r="DK139" s="19">
        <v>27836005</v>
      </c>
      <c r="DL139" s="19">
        <v>7096873</v>
      </c>
      <c r="DM139" s="19">
        <v>0</v>
      </c>
      <c r="DN139" s="19">
        <v>3955096</v>
      </c>
      <c r="DO139" s="19">
        <v>26600</v>
      </c>
      <c r="DP139" s="19">
        <v>9815292</v>
      </c>
      <c r="DQ139" s="19">
        <v>1344094</v>
      </c>
      <c r="DR139" s="19">
        <v>5589950</v>
      </c>
      <c r="DS139" s="19">
        <v>8100</v>
      </c>
      <c r="DT139" s="22">
        <v>0.14000000000000001</v>
      </c>
    </row>
    <row r="140" spans="1:124" x14ac:dyDescent="0.35">
      <c r="A140" s="19" t="s">
        <v>248</v>
      </c>
      <c r="B140" s="19" t="s">
        <v>266</v>
      </c>
      <c r="C140" s="19">
        <v>293809.01202115399</v>
      </c>
      <c r="D140" s="19">
        <v>47009.441923384642</v>
      </c>
      <c r="E140" s="20">
        <v>258028</v>
      </c>
      <c r="F140" s="19">
        <v>0</v>
      </c>
      <c r="G140" s="19">
        <v>18</v>
      </c>
      <c r="H140" s="19">
        <v>0</v>
      </c>
      <c r="I140" s="19">
        <v>233105</v>
      </c>
      <c r="J140" s="19">
        <v>0</v>
      </c>
      <c r="K140" s="19">
        <v>60</v>
      </c>
      <c r="L140" s="19">
        <v>0</v>
      </c>
      <c r="M140" s="19">
        <v>3249</v>
      </c>
      <c r="N140" s="19">
        <v>326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21142</v>
      </c>
      <c r="V140" s="19">
        <v>0</v>
      </c>
      <c r="W140" s="19">
        <v>6</v>
      </c>
      <c r="X140" s="19">
        <v>0</v>
      </c>
      <c r="Y140" s="19">
        <v>122</v>
      </c>
      <c r="Z140" s="19">
        <v>0</v>
      </c>
      <c r="AA140" s="19">
        <v>0</v>
      </c>
      <c r="AB140" s="19">
        <v>0</v>
      </c>
      <c r="AC140" s="19">
        <v>0</v>
      </c>
      <c r="AD140" s="19">
        <v>4796.1576923076927</v>
      </c>
      <c r="AE140" s="19">
        <v>2331.0500000000002</v>
      </c>
      <c r="AF140" s="19">
        <v>649.79999999999995</v>
      </c>
      <c r="AG140" s="19">
        <v>189</v>
      </c>
      <c r="AH140" s="19">
        <v>1626.3076923076924</v>
      </c>
      <c r="AI140" s="19">
        <v>0</v>
      </c>
      <c r="AJ140" s="19">
        <v>0</v>
      </c>
      <c r="AK140" s="19">
        <v>5229</v>
      </c>
      <c r="AL140" s="19">
        <v>1941</v>
      </c>
      <c r="AM140" s="19">
        <v>744</v>
      </c>
      <c r="AN140" s="19">
        <v>1169</v>
      </c>
      <c r="AO140" s="19">
        <v>1375</v>
      </c>
      <c r="AP140" s="19">
        <v>0</v>
      </c>
      <c r="AQ140" s="19">
        <v>0</v>
      </c>
      <c r="AR140" s="19">
        <v>2015</v>
      </c>
      <c r="AS140" s="19">
        <v>189</v>
      </c>
      <c r="AT140" s="19">
        <v>0</v>
      </c>
      <c r="AU140" s="19">
        <v>0</v>
      </c>
      <c r="AV140" s="19">
        <v>0</v>
      </c>
      <c r="AW140" s="19">
        <v>191</v>
      </c>
      <c r="AX140" s="19">
        <v>0</v>
      </c>
      <c r="AY140" s="19">
        <v>0</v>
      </c>
      <c r="AZ140" s="19">
        <v>4</v>
      </c>
      <c r="BA140" s="19">
        <v>1</v>
      </c>
      <c r="BB140" s="19">
        <v>0</v>
      </c>
      <c r="BC140" s="19">
        <v>0</v>
      </c>
      <c r="BD140" s="19">
        <v>5</v>
      </c>
      <c r="BE140" s="19">
        <v>0</v>
      </c>
      <c r="BF140" s="19">
        <v>0</v>
      </c>
      <c r="BG140" s="19">
        <v>0</v>
      </c>
      <c r="BH140" s="19">
        <v>104</v>
      </c>
      <c r="BI140" s="19">
        <v>6</v>
      </c>
      <c r="BJ140" s="19">
        <v>0</v>
      </c>
      <c r="BK140" s="19">
        <v>0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>
        <v>0</v>
      </c>
      <c r="BW140" s="19">
        <v>0</v>
      </c>
      <c r="BX140" s="19">
        <v>0</v>
      </c>
      <c r="BY140" s="19">
        <v>0</v>
      </c>
      <c r="BZ140" s="19">
        <v>0</v>
      </c>
      <c r="CA140" s="19">
        <v>0</v>
      </c>
      <c r="CB140" s="19">
        <v>0</v>
      </c>
      <c r="CC140" s="19">
        <v>0</v>
      </c>
      <c r="CD140" s="19">
        <v>0</v>
      </c>
      <c r="CE140" s="19">
        <v>0</v>
      </c>
      <c r="CF140" s="19">
        <v>0</v>
      </c>
      <c r="CG140" s="19">
        <v>0</v>
      </c>
      <c r="CH140" s="19">
        <v>0</v>
      </c>
      <c r="CI140" s="19">
        <v>0</v>
      </c>
      <c r="CJ140" s="19">
        <v>0</v>
      </c>
      <c r="CK140" s="19">
        <v>0</v>
      </c>
      <c r="CL140" s="19">
        <v>0</v>
      </c>
      <c r="CM140" s="19">
        <v>0</v>
      </c>
      <c r="CN140" s="19">
        <v>0</v>
      </c>
      <c r="CO140" s="19">
        <v>0</v>
      </c>
      <c r="CP140" s="19">
        <v>0</v>
      </c>
      <c r="CQ140" s="19">
        <v>0</v>
      </c>
      <c r="CR140" s="19">
        <v>0</v>
      </c>
      <c r="CS140" s="19">
        <v>0</v>
      </c>
      <c r="CT140" s="19">
        <v>0</v>
      </c>
      <c r="CU140" s="19">
        <v>0</v>
      </c>
      <c r="CV140" s="19">
        <v>0</v>
      </c>
      <c r="CW140" s="19">
        <v>0</v>
      </c>
      <c r="CX140" s="19">
        <v>0</v>
      </c>
      <c r="CY140" s="19">
        <v>0</v>
      </c>
      <c r="CZ140" s="19">
        <v>0</v>
      </c>
      <c r="DA140" s="19">
        <v>0</v>
      </c>
      <c r="DB140" s="19">
        <v>0</v>
      </c>
      <c r="DC140" s="19">
        <v>0</v>
      </c>
      <c r="DD140" s="19">
        <v>0</v>
      </c>
      <c r="DE140" s="19">
        <v>0</v>
      </c>
      <c r="DF140" s="19">
        <v>0</v>
      </c>
      <c r="DG140" s="19">
        <v>0</v>
      </c>
      <c r="DH140" s="19">
        <v>0</v>
      </c>
      <c r="DI140" s="19">
        <v>0</v>
      </c>
      <c r="DJ140" s="21">
        <v>20206</v>
      </c>
      <c r="DK140" s="19">
        <v>3655741</v>
      </c>
      <c r="DL140" s="19">
        <v>2580124</v>
      </c>
      <c r="DM140" s="19">
        <v>0</v>
      </c>
      <c r="DN140" s="19">
        <v>365859</v>
      </c>
      <c r="DO140" s="19">
        <v>38204</v>
      </c>
      <c r="DP140" s="19">
        <v>117513</v>
      </c>
      <c r="DQ140" s="19">
        <v>0</v>
      </c>
      <c r="DR140" s="19">
        <v>553675</v>
      </c>
      <c r="DS140" s="19">
        <v>366</v>
      </c>
      <c r="DT140" s="22">
        <v>0.13</v>
      </c>
    </row>
    <row r="141" spans="1:124" x14ac:dyDescent="0.35">
      <c r="A141" s="19" t="s">
        <v>248</v>
      </c>
      <c r="B141" s="19" t="s">
        <v>267</v>
      </c>
      <c r="C141" s="19">
        <v>337852.53936717758</v>
      </c>
      <c r="D141" s="19">
        <v>54056.406298748414</v>
      </c>
      <c r="E141" s="20">
        <v>242279</v>
      </c>
      <c r="F141" s="19">
        <v>0</v>
      </c>
      <c r="G141" s="19">
        <v>0</v>
      </c>
      <c r="H141" s="19">
        <v>0</v>
      </c>
      <c r="I141" s="19">
        <v>233395</v>
      </c>
      <c r="J141" s="19">
        <v>0</v>
      </c>
      <c r="K141" s="19">
        <v>0</v>
      </c>
      <c r="L141" s="19">
        <v>0</v>
      </c>
      <c r="M141" s="19">
        <v>2391</v>
      </c>
      <c r="N141" s="19">
        <v>3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6489</v>
      </c>
      <c r="V141" s="19">
        <v>0</v>
      </c>
      <c r="W141" s="19">
        <v>0</v>
      </c>
      <c r="X141" s="19">
        <v>0</v>
      </c>
      <c r="Y141" s="19">
        <v>1</v>
      </c>
      <c r="Z141" s="19">
        <v>0</v>
      </c>
      <c r="AA141" s="19">
        <v>0</v>
      </c>
      <c r="AB141" s="19">
        <v>0</v>
      </c>
      <c r="AC141" s="19">
        <v>0</v>
      </c>
      <c r="AD141" s="19">
        <v>3311.3038461538458</v>
      </c>
      <c r="AE141" s="19">
        <v>2333.9499999999998</v>
      </c>
      <c r="AF141" s="19">
        <v>478.2</v>
      </c>
      <c r="AG141" s="19">
        <v>0</v>
      </c>
      <c r="AH141" s="19">
        <v>499.15384615384613</v>
      </c>
      <c r="AI141" s="19">
        <v>0</v>
      </c>
      <c r="AJ141" s="19">
        <v>0</v>
      </c>
      <c r="AK141" s="19">
        <v>2715</v>
      </c>
      <c r="AL141" s="19">
        <v>1945</v>
      </c>
      <c r="AM141" s="19">
        <v>396</v>
      </c>
      <c r="AN141" s="19">
        <v>14</v>
      </c>
      <c r="AO141" s="19">
        <v>360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30</v>
      </c>
      <c r="BI141" s="19">
        <v>5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>
        <v>0</v>
      </c>
      <c r="BW141" s="19">
        <v>0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0</v>
      </c>
      <c r="CD141" s="19">
        <v>0</v>
      </c>
      <c r="CE141" s="19">
        <v>0</v>
      </c>
      <c r="CF141" s="19">
        <v>0</v>
      </c>
      <c r="CG141" s="19">
        <v>0</v>
      </c>
      <c r="CH141" s="19">
        <v>0</v>
      </c>
      <c r="CI141" s="19">
        <v>0</v>
      </c>
      <c r="CJ141" s="19">
        <v>0</v>
      </c>
      <c r="CK141" s="19">
        <v>0</v>
      </c>
      <c r="CL141" s="19">
        <v>0</v>
      </c>
      <c r="CM141" s="19">
        <v>0</v>
      </c>
      <c r="CN141" s="19">
        <v>0</v>
      </c>
      <c r="CO141" s="19">
        <v>0</v>
      </c>
      <c r="CP141" s="19">
        <v>0</v>
      </c>
      <c r="CQ141" s="19">
        <v>0</v>
      </c>
      <c r="CR141" s="19">
        <v>0</v>
      </c>
      <c r="CS141" s="19">
        <v>0</v>
      </c>
      <c r="CT141" s="19">
        <v>0</v>
      </c>
      <c r="CU141" s="19">
        <v>0</v>
      </c>
      <c r="CV141" s="19">
        <v>0</v>
      </c>
      <c r="CW141" s="19">
        <v>0</v>
      </c>
      <c r="CX141" s="19">
        <v>0</v>
      </c>
      <c r="CY141" s="19">
        <v>0</v>
      </c>
      <c r="CZ141" s="19">
        <v>0</v>
      </c>
      <c r="DA141" s="19">
        <v>0</v>
      </c>
      <c r="DB141" s="19">
        <v>0</v>
      </c>
      <c r="DC141" s="19">
        <v>0</v>
      </c>
      <c r="DD141" s="19">
        <v>0</v>
      </c>
      <c r="DE141" s="19">
        <v>0</v>
      </c>
      <c r="DF141" s="19">
        <v>0</v>
      </c>
      <c r="DG141" s="19">
        <v>0</v>
      </c>
      <c r="DH141" s="19">
        <v>0</v>
      </c>
      <c r="DI141" s="19">
        <v>0</v>
      </c>
      <c r="DJ141" s="21">
        <v>20224</v>
      </c>
      <c r="DK141" s="19">
        <v>3990787</v>
      </c>
      <c r="DL141" s="19">
        <v>3690517</v>
      </c>
      <c r="DM141" s="19">
        <v>0</v>
      </c>
      <c r="DN141" s="19">
        <v>167729</v>
      </c>
      <c r="DO141" s="19">
        <v>300</v>
      </c>
      <c r="DP141" s="19">
        <v>247</v>
      </c>
      <c r="DQ141" s="19">
        <v>0</v>
      </c>
      <c r="DR141" s="19">
        <v>131994</v>
      </c>
      <c r="DS141" s="19">
        <v>0</v>
      </c>
      <c r="DT141" s="22">
        <v>0.14000000000000001</v>
      </c>
    </row>
    <row r="142" spans="1:124" x14ac:dyDescent="0.35">
      <c r="A142" s="19" t="s">
        <v>248</v>
      </c>
      <c r="B142" s="19" t="s">
        <v>268</v>
      </c>
      <c r="C142" s="19">
        <v>196577.63282637813</v>
      </c>
      <c r="D142" s="19">
        <v>31452.421252220502</v>
      </c>
      <c r="E142" s="20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0</v>
      </c>
      <c r="BT142" s="19">
        <v>0</v>
      </c>
      <c r="BU142" s="19">
        <v>0</v>
      </c>
      <c r="BV142" s="19">
        <v>0</v>
      </c>
      <c r="BW142" s="19">
        <v>0</v>
      </c>
      <c r="BX142" s="19">
        <v>0</v>
      </c>
      <c r="BY142" s="19">
        <v>0</v>
      </c>
      <c r="BZ142" s="19">
        <v>0</v>
      </c>
      <c r="CA142" s="19">
        <v>0</v>
      </c>
      <c r="CB142" s="19">
        <v>0</v>
      </c>
      <c r="CC142" s="19">
        <v>0</v>
      </c>
      <c r="CD142" s="19">
        <v>0</v>
      </c>
      <c r="CE142" s="19">
        <v>0</v>
      </c>
      <c r="CF142" s="19">
        <v>0</v>
      </c>
      <c r="CG142" s="19">
        <v>0</v>
      </c>
      <c r="CH142" s="19">
        <v>0</v>
      </c>
      <c r="CI142" s="19">
        <v>0</v>
      </c>
      <c r="CJ142" s="19">
        <v>0</v>
      </c>
      <c r="CK142" s="19">
        <v>0</v>
      </c>
      <c r="CL142" s="19">
        <v>0</v>
      </c>
      <c r="CM142" s="19">
        <v>0</v>
      </c>
      <c r="CN142" s="19">
        <v>0</v>
      </c>
      <c r="CO142" s="19">
        <v>0</v>
      </c>
      <c r="CP142" s="19">
        <v>0</v>
      </c>
      <c r="CQ142" s="19">
        <v>0</v>
      </c>
      <c r="CR142" s="19">
        <v>0</v>
      </c>
      <c r="CS142" s="19">
        <v>0</v>
      </c>
      <c r="CT142" s="19">
        <v>0</v>
      </c>
      <c r="CU142" s="19">
        <v>0</v>
      </c>
      <c r="CV142" s="19">
        <v>0</v>
      </c>
      <c r="CW142" s="19">
        <v>0</v>
      </c>
      <c r="CX142" s="19">
        <v>0</v>
      </c>
      <c r="CY142" s="19">
        <v>0</v>
      </c>
      <c r="CZ142" s="19">
        <v>0</v>
      </c>
      <c r="DA142" s="19">
        <v>0</v>
      </c>
      <c r="DB142" s="19">
        <v>0</v>
      </c>
      <c r="DC142" s="19">
        <v>0</v>
      </c>
      <c r="DD142" s="19">
        <v>0</v>
      </c>
      <c r="DE142" s="19">
        <v>0</v>
      </c>
      <c r="DF142" s="19">
        <v>0</v>
      </c>
      <c r="DG142" s="19">
        <v>0</v>
      </c>
      <c r="DH142" s="19">
        <v>0</v>
      </c>
      <c r="DI142" s="19">
        <v>0</v>
      </c>
      <c r="DJ142" s="21">
        <v>20242</v>
      </c>
      <c r="DK142" s="19">
        <v>0</v>
      </c>
      <c r="DL142" s="19">
        <v>0</v>
      </c>
      <c r="DM142" s="19">
        <v>0</v>
      </c>
      <c r="DN142" s="19">
        <v>0</v>
      </c>
      <c r="DO142" s="19">
        <v>0</v>
      </c>
      <c r="DP142" s="19">
        <v>0</v>
      </c>
      <c r="DQ142" s="19">
        <v>0</v>
      </c>
      <c r="DR142" s="19">
        <v>0</v>
      </c>
      <c r="DS142" s="19">
        <v>0</v>
      </c>
      <c r="DT142" s="22">
        <v>0.13</v>
      </c>
    </row>
    <row r="143" spans="1:124" x14ac:dyDescent="0.35">
      <c r="A143" s="19" t="s">
        <v>248</v>
      </c>
      <c r="B143" s="19" t="s">
        <v>269</v>
      </c>
      <c r="C143" s="19">
        <v>607516.82477350812</v>
      </c>
      <c r="D143" s="19">
        <v>97202.691963761303</v>
      </c>
      <c r="E143" s="20">
        <v>302798</v>
      </c>
      <c r="F143" s="19">
        <v>2</v>
      </c>
      <c r="G143" s="19">
        <v>198</v>
      </c>
      <c r="H143" s="19">
        <v>57</v>
      </c>
      <c r="I143" s="19">
        <v>219448</v>
      </c>
      <c r="J143" s="19">
        <v>0</v>
      </c>
      <c r="K143" s="19">
        <v>171</v>
      </c>
      <c r="L143" s="19">
        <v>25</v>
      </c>
      <c r="M143" s="19">
        <v>26308</v>
      </c>
      <c r="N143" s="19">
        <v>51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20</v>
      </c>
      <c r="U143" s="19">
        <v>56184</v>
      </c>
      <c r="V143" s="19">
        <v>0</v>
      </c>
      <c r="W143" s="19">
        <v>143</v>
      </c>
      <c r="X143" s="19">
        <v>0</v>
      </c>
      <c r="Y143" s="19">
        <v>41</v>
      </c>
      <c r="Z143" s="19">
        <v>150</v>
      </c>
      <c r="AA143" s="19">
        <v>0</v>
      </c>
      <c r="AB143" s="19">
        <v>0</v>
      </c>
      <c r="AC143" s="19">
        <v>0</v>
      </c>
      <c r="AD143" s="19">
        <v>12193.926153846154</v>
      </c>
      <c r="AE143" s="19">
        <v>2194.48</v>
      </c>
      <c r="AF143" s="19">
        <v>5261.6</v>
      </c>
      <c r="AG143" s="19">
        <v>416</v>
      </c>
      <c r="AH143" s="19">
        <v>4321.8461538461543</v>
      </c>
      <c r="AI143" s="19">
        <v>0</v>
      </c>
      <c r="AJ143" s="19">
        <v>0</v>
      </c>
      <c r="AK143" s="19">
        <v>10840</v>
      </c>
      <c r="AL143" s="19">
        <v>1829</v>
      </c>
      <c r="AM143" s="19">
        <v>5355</v>
      </c>
      <c r="AN143" s="19">
        <v>196</v>
      </c>
      <c r="AO143" s="19">
        <v>3460</v>
      </c>
      <c r="AP143" s="19">
        <v>0</v>
      </c>
      <c r="AQ143" s="19">
        <v>0</v>
      </c>
      <c r="AR143" s="19">
        <v>2305</v>
      </c>
      <c r="AS143" s="19">
        <v>416</v>
      </c>
      <c r="AT143" s="19">
        <v>0</v>
      </c>
      <c r="AU143" s="19">
        <v>0</v>
      </c>
      <c r="AV143" s="19">
        <v>36</v>
      </c>
      <c r="AW143" s="19">
        <v>1787</v>
      </c>
      <c r="AX143" s="19">
        <v>0</v>
      </c>
      <c r="AY143" s="19">
        <v>2496.9080313988961</v>
      </c>
      <c r="AZ143" s="19">
        <v>47</v>
      </c>
      <c r="BA143" s="19">
        <v>0</v>
      </c>
      <c r="BB143" s="19">
        <v>0</v>
      </c>
      <c r="BC143" s="19">
        <v>0</v>
      </c>
      <c r="BD143" s="19">
        <v>47</v>
      </c>
      <c r="BE143" s="19">
        <v>31</v>
      </c>
      <c r="BF143" s="19">
        <v>0</v>
      </c>
      <c r="BG143" s="19">
        <v>0</v>
      </c>
      <c r="BH143" s="19">
        <v>49</v>
      </c>
      <c r="BI143" s="19">
        <v>59</v>
      </c>
      <c r="BJ143" s="19">
        <v>0</v>
      </c>
      <c r="BK143" s="19">
        <v>0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>
        <v>0</v>
      </c>
      <c r="BW143" s="19">
        <v>0</v>
      </c>
      <c r="BX143" s="19">
        <v>0</v>
      </c>
      <c r="BY143" s="19">
        <v>0</v>
      </c>
      <c r="BZ143" s="19">
        <v>0</v>
      </c>
      <c r="CA143" s="19">
        <v>0</v>
      </c>
      <c r="CB143" s="19">
        <v>0</v>
      </c>
      <c r="CC143" s="19">
        <v>0</v>
      </c>
      <c r="CD143" s="19">
        <v>0</v>
      </c>
      <c r="CE143" s="19">
        <v>0</v>
      </c>
      <c r="CF143" s="19">
        <v>0</v>
      </c>
      <c r="CG143" s="19">
        <v>0</v>
      </c>
      <c r="CH143" s="19">
        <v>0</v>
      </c>
      <c r="CI143" s="19">
        <v>0</v>
      </c>
      <c r="CJ143" s="19">
        <v>0</v>
      </c>
      <c r="CK143" s="19">
        <v>0</v>
      </c>
      <c r="CL143" s="19">
        <v>0</v>
      </c>
      <c r="CM143" s="19">
        <v>0</v>
      </c>
      <c r="CN143" s="19">
        <v>1</v>
      </c>
      <c r="CO143" s="19">
        <v>0</v>
      </c>
      <c r="CP143" s="19">
        <v>0</v>
      </c>
      <c r="CQ143" s="19">
        <v>0</v>
      </c>
      <c r="CR143" s="19">
        <v>0</v>
      </c>
      <c r="CS143" s="19">
        <v>0</v>
      </c>
      <c r="CT143" s="19">
        <v>0</v>
      </c>
      <c r="CU143" s="19">
        <v>1</v>
      </c>
      <c r="CV143" s="19">
        <v>0</v>
      </c>
      <c r="CW143" s="19">
        <v>0</v>
      </c>
      <c r="CX143" s="19">
        <v>0</v>
      </c>
      <c r="CY143" s="19">
        <v>0</v>
      </c>
      <c r="CZ143" s="19">
        <v>0</v>
      </c>
      <c r="DA143" s="19">
        <v>0</v>
      </c>
      <c r="DB143" s="19">
        <v>0</v>
      </c>
      <c r="DC143" s="19">
        <v>0</v>
      </c>
      <c r="DD143" s="19">
        <v>0</v>
      </c>
      <c r="DE143" s="19">
        <v>0</v>
      </c>
      <c r="DF143" s="19">
        <v>0</v>
      </c>
      <c r="DG143" s="19">
        <v>0</v>
      </c>
      <c r="DH143" s="19">
        <v>0</v>
      </c>
      <c r="DI143" s="19">
        <v>0</v>
      </c>
      <c r="DJ143" s="21">
        <v>20219</v>
      </c>
      <c r="DK143" s="19">
        <v>5771612</v>
      </c>
      <c r="DL143" s="19">
        <v>1625579</v>
      </c>
      <c r="DM143" s="19">
        <v>0</v>
      </c>
      <c r="DN143" s="19">
        <v>2651189</v>
      </c>
      <c r="DO143" s="19">
        <v>6580</v>
      </c>
      <c r="DP143" s="19">
        <v>384061</v>
      </c>
      <c r="DQ143" s="19">
        <v>459</v>
      </c>
      <c r="DR143" s="19">
        <v>1099717</v>
      </c>
      <c r="DS143" s="19">
        <v>4027</v>
      </c>
      <c r="DT143" s="25">
        <v>0.09</v>
      </c>
    </row>
    <row r="144" spans="1:124" x14ac:dyDescent="0.35">
      <c r="A144" s="19" t="s">
        <v>248</v>
      </c>
      <c r="B144" s="19" t="s">
        <v>270</v>
      </c>
      <c r="C144" s="19">
        <v>224142.17934899175</v>
      </c>
      <c r="D144" s="19">
        <v>35862.74869583868</v>
      </c>
      <c r="E144" s="20">
        <v>148834</v>
      </c>
      <c r="F144" s="19">
        <v>0</v>
      </c>
      <c r="G144" s="19">
        <v>0</v>
      </c>
      <c r="H144" s="19">
        <v>0</v>
      </c>
      <c r="I144" s="19">
        <v>139815</v>
      </c>
      <c r="J144" s="19">
        <v>0</v>
      </c>
      <c r="K144" s="19">
        <v>3</v>
      </c>
      <c r="L144" s="19">
        <v>0</v>
      </c>
      <c r="M144" s="19">
        <v>1343</v>
      </c>
      <c r="N144" s="19">
        <v>200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7471</v>
      </c>
      <c r="V144" s="19">
        <v>0</v>
      </c>
      <c r="W144" s="19">
        <v>0</v>
      </c>
      <c r="X144" s="19">
        <v>0</v>
      </c>
      <c r="Y144" s="19">
        <v>2</v>
      </c>
      <c r="Z144" s="19">
        <v>0</v>
      </c>
      <c r="AA144" s="19">
        <v>0</v>
      </c>
      <c r="AB144" s="19">
        <v>0</v>
      </c>
      <c r="AC144" s="19">
        <v>0</v>
      </c>
      <c r="AD144" s="19">
        <v>2348.4423076923076</v>
      </c>
      <c r="AE144" s="19">
        <v>1398.15</v>
      </c>
      <c r="AF144" s="19">
        <v>268.60000000000002</v>
      </c>
      <c r="AG144" s="19">
        <v>107</v>
      </c>
      <c r="AH144" s="19">
        <v>574.69230769230774</v>
      </c>
      <c r="AI144" s="19">
        <v>0</v>
      </c>
      <c r="AJ144" s="19">
        <v>0</v>
      </c>
      <c r="AK144" s="19">
        <v>2824</v>
      </c>
      <c r="AL144" s="19">
        <v>1165</v>
      </c>
      <c r="AM144" s="19">
        <v>298</v>
      </c>
      <c r="AN144" s="19">
        <v>842</v>
      </c>
      <c r="AO144" s="19">
        <v>519</v>
      </c>
      <c r="AP144" s="19">
        <v>0</v>
      </c>
      <c r="AQ144" s="19">
        <v>0</v>
      </c>
      <c r="AR144" s="19">
        <v>1619</v>
      </c>
      <c r="AS144" s="19">
        <v>107</v>
      </c>
      <c r="AT144" s="19">
        <v>0</v>
      </c>
      <c r="AU144" s="19">
        <v>0</v>
      </c>
      <c r="AV144" s="19">
        <v>0</v>
      </c>
      <c r="AW144" s="19">
        <v>133</v>
      </c>
      <c r="AX144" s="19">
        <v>0</v>
      </c>
      <c r="AY144" s="19">
        <v>0</v>
      </c>
      <c r="AZ144" s="19">
        <v>2</v>
      </c>
      <c r="BA144" s="19">
        <v>1</v>
      </c>
      <c r="BB144" s="19">
        <v>0</v>
      </c>
      <c r="BC144" s="19">
        <v>0</v>
      </c>
      <c r="BD144" s="19">
        <v>3</v>
      </c>
      <c r="BE144" s="19">
        <v>0</v>
      </c>
      <c r="BF144" s="19">
        <v>0</v>
      </c>
      <c r="BG144" s="19">
        <v>0</v>
      </c>
      <c r="BH144" s="19">
        <v>16</v>
      </c>
      <c r="BI144" s="19">
        <v>9</v>
      </c>
      <c r="BJ144" s="19">
        <v>0</v>
      </c>
      <c r="BK144" s="19">
        <v>0</v>
      </c>
      <c r="BL144" s="19">
        <v>0</v>
      </c>
      <c r="BM144" s="19">
        <v>0</v>
      </c>
      <c r="BN144" s="19">
        <v>0</v>
      </c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>
        <v>0</v>
      </c>
      <c r="BW144" s="19">
        <v>0</v>
      </c>
      <c r="BX144" s="19">
        <v>0</v>
      </c>
      <c r="BY144" s="19">
        <v>0</v>
      </c>
      <c r="BZ144" s="19">
        <v>0</v>
      </c>
      <c r="CA144" s="19">
        <v>0</v>
      </c>
      <c r="CB144" s="19">
        <v>0</v>
      </c>
      <c r="CC144" s="19">
        <v>0</v>
      </c>
      <c r="CD144" s="19">
        <v>0</v>
      </c>
      <c r="CE144" s="19">
        <v>0</v>
      </c>
      <c r="CF144" s="19">
        <v>0</v>
      </c>
      <c r="CG144" s="19">
        <v>0</v>
      </c>
      <c r="CH144" s="19">
        <v>0</v>
      </c>
      <c r="CI144" s="19">
        <v>0</v>
      </c>
      <c r="CJ144" s="19">
        <v>0</v>
      </c>
      <c r="CK144" s="19">
        <v>0</v>
      </c>
      <c r="CL144" s="19">
        <v>0</v>
      </c>
      <c r="CM144" s="19">
        <v>0</v>
      </c>
      <c r="CN144" s="19">
        <v>0</v>
      </c>
      <c r="CO144" s="19">
        <v>0</v>
      </c>
      <c r="CP144" s="19">
        <v>0</v>
      </c>
      <c r="CQ144" s="19">
        <v>0</v>
      </c>
      <c r="CR144" s="19">
        <v>0</v>
      </c>
      <c r="CS144" s="19">
        <v>0</v>
      </c>
      <c r="CT144" s="19">
        <v>0</v>
      </c>
      <c r="CU144" s="19">
        <v>0</v>
      </c>
      <c r="CV144" s="19">
        <v>0</v>
      </c>
      <c r="CW144" s="19">
        <v>0</v>
      </c>
      <c r="CX144" s="19">
        <v>0</v>
      </c>
      <c r="CY144" s="19">
        <v>0</v>
      </c>
      <c r="CZ144" s="19">
        <v>0</v>
      </c>
      <c r="DA144" s="19">
        <v>0</v>
      </c>
      <c r="DB144" s="19">
        <v>0</v>
      </c>
      <c r="DC144" s="19">
        <v>0</v>
      </c>
      <c r="DD144" s="19">
        <v>0</v>
      </c>
      <c r="DE144" s="19">
        <v>0</v>
      </c>
      <c r="DF144" s="19">
        <v>0</v>
      </c>
      <c r="DG144" s="19">
        <v>0</v>
      </c>
      <c r="DH144" s="19">
        <v>0</v>
      </c>
      <c r="DI144" s="19">
        <v>0</v>
      </c>
      <c r="DJ144" s="21">
        <v>20205</v>
      </c>
      <c r="DK144" s="19">
        <v>1353880</v>
      </c>
      <c r="DL144" s="19">
        <v>1034862</v>
      </c>
      <c r="DM144" s="19">
        <v>0</v>
      </c>
      <c r="DN144" s="19">
        <v>139945</v>
      </c>
      <c r="DO144" s="19">
        <v>20000</v>
      </c>
      <c r="DP144" s="19">
        <v>3818</v>
      </c>
      <c r="DQ144" s="19">
        <v>0</v>
      </c>
      <c r="DR144" s="19">
        <v>155255</v>
      </c>
      <c r="DS144" s="19">
        <v>0</v>
      </c>
      <c r="DT144" s="22">
        <v>0.12</v>
      </c>
    </row>
    <row r="145" spans="1:124" x14ac:dyDescent="0.35">
      <c r="A145" s="19" t="s">
        <v>248</v>
      </c>
      <c r="B145" s="19" t="s">
        <v>271</v>
      </c>
      <c r="C145" s="19">
        <v>549782.15465567878</v>
      </c>
      <c r="D145" s="19">
        <v>87965.144744908612</v>
      </c>
      <c r="E145" s="20">
        <v>99902</v>
      </c>
      <c r="F145" s="19">
        <v>0</v>
      </c>
      <c r="G145" s="19">
        <v>0</v>
      </c>
      <c r="H145" s="19">
        <v>40</v>
      </c>
      <c r="I145" s="19">
        <v>92999</v>
      </c>
      <c r="J145" s="19">
        <v>0</v>
      </c>
      <c r="K145" s="19">
        <v>0</v>
      </c>
      <c r="L145" s="19">
        <v>0</v>
      </c>
      <c r="M145" s="19">
        <v>1221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5642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1608.19</v>
      </c>
      <c r="AE145" s="19">
        <v>929.99</v>
      </c>
      <c r="AF145" s="19">
        <v>244.2</v>
      </c>
      <c r="AG145" s="19">
        <v>0</v>
      </c>
      <c r="AH145" s="19">
        <v>434</v>
      </c>
      <c r="AI145" s="19">
        <v>0</v>
      </c>
      <c r="AJ145" s="19">
        <v>0</v>
      </c>
      <c r="AK145" s="19">
        <v>1407</v>
      </c>
      <c r="AL145" s="19">
        <v>776</v>
      </c>
      <c r="AM145" s="19">
        <v>287</v>
      </c>
      <c r="AN145" s="19">
        <v>0</v>
      </c>
      <c r="AO145" s="19">
        <v>344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14</v>
      </c>
      <c r="BI145" s="19">
        <v>0</v>
      </c>
      <c r="BJ145" s="19">
        <v>0</v>
      </c>
      <c r="BK145" s="19">
        <v>0</v>
      </c>
      <c r="BL145" s="19">
        <v>0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</v>
      </c>
      <c r="BT145" s="19">
        <v>0</v>
      </c>
      <c r="BU145" s="19">
        <v>0</v>
      </c>
      <c r="BV145" s="19">
        <v>0</v>
      </c>
      <c r="BW145" s="19">
        <v>0</v>
      </c>
      <c r="BX145" s="19">
        <v>0</v>
      </c>
      <c r="BY145" s="19">
        <v>0</v>
      </c>
      <c r="BZ145" s="19">
        <v>0</v>
      </c>
      <c r="CA145" s="19">
        <v>0</v>
      </c>
      <c r="CB145" s="19">
        <v>0</v>
      </c>
      <c r="CC145" s="19">
        <v>0</v>
      </c>
      <c r="CD145" s="19">
        <v>0</v>
      </c>
      <c r="CE145" s="19">
        <v>0</v>
      </c>
      <c r="CF145" s="19">
        <v>0</v>
      </c>
      <c r="CG145" s="19">
        <v>0</v>
      </c>
      <c r="CH145" s="19">
        <v>0</v>
      </c>
      <c r="CI145" s="19">
        <v>0</v>
      </c>
      <c r="CJ145" s="19">
        <v>0</v>
      </c>
      <c r="CK145" s="19">
        <v>0</v>
      </c>
      <c r="CL145" s="19">
        <v>0</v>
      </c>
      <c r="CM145" s="19">
        <v>0</v>
      </c>
      <c r="CN145" s="19">
        <v>0</v>
      </c>
      <c r="CO145" s="19">
        <v>0</v>
      </c>
      <c r="CP145" s="19">
        <v>0</v>
      </c>
      <c r="CQ145" s="19">
        <v>0</v>
      </c>
      <c r="CR145" s="19">
        <v>0</v>
      </c>
      <c r="CS145" s="19">
        <v>0</v>
      </c>
      <c r="CT145" s="19">
        <v>0</v>
      </c>
      <c r="CU145" s="19">
        <v>0</v>
      </c>
      <c r="CV145" s="19">
        <v>0</v>
      </c>
      <c r="CW145" s="19">
        <v>0</v>
      </c>
      <c r="CX145" s="19">
        <v>0</v>
      </c>
      <c r="CY145" s="19">
        <v>0</v>
      </c>
      <c r="CZ145" s="19">
        <v>0</v>
      </c>
      <c r="DA145" s="19">
        <v>0</v>
      </c>
      <c r="DB145" s="19">
        <v>0</v>
      </c>
      <c r="DC145" s="19">
        <v>0</v>
      </c>
      <c r="DD145" s="19">
        <v>0</v>
      </c>
      <c r="DE145" s="19">
        <v>0</v>
      </c>
      <c r="DF145" s="19">
        <v>0</v>
      </c>
      <c r="DG145" s="19">
        <v>0</v>
      </c>
      <c r="DH145" s="19">
        <v>0</v>
      </c>
      <c r="DI145" s="19">
        <v>0</v>
      </c>
      <c r="DJ145" s="21">
        <v>20232</v>
      </c>
      <c r="DK145" s="19">
        <v>1599932</v>
      </c>
      <c r="DL145" s="19">
        <v>1332211</v>
      </c>
      <c r="DM145" s="19">
        <v>0</v>
      </c>
      <c r="DN145" s="19">
        <v>145303</v>
      </c>
      <c r="DO145" s="19">
        <v>0</v>
      </c>
      <c r="DP145" s="19">
        <v>4827</v>
      </c>
      <c r="DQ145" s="19">
        <v>0</v>
      </c>
      <c r="DR145" s="19">
        <v>117591</v>
      </c>
      <c r="DS145" s="19">
        <v>0</v>
      </c>
      <c r="DT145" s="22">
        <v>0.11</v>
      </c>
    </row>
    <row r="146" spans="1:124" x14ac:dyDescent="0.35">
      <c r="A146" s="19" t="s">
        <v>248</v>
      </c>
      <c r="B146" s="19" t="s">
        <v>272</v>
      </c>
      <c r="C146" s="19">
        <v>901040.04295184766</v>
      </c>
      <c r="D146" s="19">
        <v>144166.40687229563</v>
      </c>
      <c r="E146" s="20">
        <v>547787</v>
      </c>
      <c r="F146" s="19">
        <v>0</v>
      </c>
      <c r="G146" s="19">
        <v>1199</v>
      </c>
      <c r="H146" s="19">
        <v>0</v>
      </c>
      <c r="I146" s="19">
        <v>514081</v>
      </c>
      <c r="J146" s="19">
        <v>0</v>
      </c>
      <c r="K146" s="19">
        <v>274</v>
      </c>
      <c r="L146" s="19">
        <v>1</v>
      </c>
      <c r="M146" s="19">
        <v>3024</v>
      </c>
      <c r="N146" s="19">
        <v>190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27948</v>
      </c>
      <c r="V146" s="19">
        <v>0</v>
      </c>
      <c r="W146" s="19">
        <v>0</v>
      </c>
      <c r="X146" s="19">
        <v>0</v>
      </c>
      <c r="Y146" s="19">
        <v>1064</v>
      </c>
      <c r="Z146" s="19">
        <v>6</v>
      </c>
      <c r="AA146" s="19">
        <v>0</v>
      </c>
      <c r="AB146" s="19">
        <v>0</v>
      </c>
      <c r="AC146" s="19">
        <v>0</v>
      </c>
      <c r="AD146" s="19">
        <v>7974.4561538461548</v>
      </c>
      <c r="AE146" s="19">
        <v>5140.8100000000004</v>
      </c>
      <c r="AF146" s="19">
        <v>604.79999999999995</v>
      </c>
      <c r="AG146" s="19">
        <v>79</v>
      </c>
      <c r="AH146" s="19">
        <v>2149.8461538461538</v>
      </c>
      <c r="AI146" s="19">
        <v>0</v>
      </c>
      <c r="AJ146" s="19">
        <v>0</v>
      </c>
      <c r="AK146" s="19">
        <v>7466</v>
      </c>
      <c r="AL146" s="19">
        <v>4283</v>
      </c>
      <c r="AM146" s="19">
        <v>677</v>
      </c>
      <c r="AN146" s="19">
        <v>686</v>
      </c>
      <c r="AO146" s="19">
        <v>1820</v>
      </c>
      <c r="AP146" s="19">
        <v>0</v>
      </c>
      <c r="AQ146" s="19">
        <v>0</v>
      </c>
      <c r="AR146" s="19">
        <v>1008</v>
      </c>
      <c r="AS146" s="19">
        <v>79</v>
      </c>
      <c r="AT146" s="19">
        <v>0</v>
      </c>
      <c r="AU146" s="19">
        <v>0</v>
      </c>
      <c r="AV146" s="19">
        <v>0</v>
      </c>
      <c r="AW146" s="19">
        <v>121</v>
      </c>
      <c r="AX146" s="19">
        <v>0</v>
      </c>
      <c r="AY146" s="19">
        <v>0</v>
      </c>
      <c r="AZ146" s="19">
        <v>2</v>
      </c>
      <c r="BA146" s="19">
        <v>3</v>
      </c>
      <c r="BB146" s="19">
        <v>0</v>
      </c>
      <c r="BC146" s="19">
        <v>0</v>
      </c>
      <c r="BD146" s="19">
        <v>5</v>
      </c>
      <c r="BE146" s="19">
        <v>0</v>
      </c>
      <c r="BF146" s="19">
        <v>0</v>
      </c>
      <c r="BG146" s="19">
        <v>0</v>
      </c>
      <c r="BH146" s="19">
        <v>93</v>
      </c>
      <c r="BI146" s="19">
        <v>2</v>
      </c>
      <c r="BJ146" s="19">
        <v>0</v>
      </c>
      <c r="BK146" s="19">
        <v>0</v>
      </c>
      <c r="BL146" s="19">
        <v>0</v>
      </c>
      <c r="BM146" s="19">
        <v>0</v>
      </c>
      <c r="BN146" s="19">
        <v>0</v>
      </c>
      <c r="BO146" s="19">
        <v>0</v>
      </c>
      <c r="BP146" s="19">
        <v>0</v>
      </c>
      <c r="BQ146" s="19">
        <v>0</v>
      </c>
      <c r="BR146" s="19">
        <v>0</v>
      </c>
      <c r="BS146" s="19">
        <v>0</v>
      </c>
      <c r="BT146" s="19">
        <v>0</v>
      </c>
      <c r="BU146" s="19">
        <v>0</v>
      </c>
      <c r="BV146" s="19">
        <v>0</v>
      </c>
      <c r="BW146" s="19">
        <v>0</v>
      </c>
      <c r="BX146" s="19">
        <v>0</v>
      </c>
      <c r="BY146" s="19">
        <v>0</v>
      </c>
      <c r="BZ146" s="19">
        <v>0</v>
      </c>
      <c r="CA146" s="19">
        <v>0</v>
      </c>
      <c r="CB146" s="19">
        <v>0</v>
      </c>
      <c r="CC146" s="19">
        <v>0</v>
      </c>
      <c r="CD146" s="19">
        <v>0</v>
      </c>
      <c r="CE146" s="19">
        <v>0</v>
      </c>
      <c r="CF146" s="19">
        <v>0</v>
      </c>
      <c r="CG146" s="19">
        <v>0</v>
      </c>
      <c r="CH146" s="19">
        <v>0</v>
      </c>
      <c r="CI146" s="19">
        <v>0</v>
      </c>
      <c r="CJ146" s="19">
        <v>0</v>
      </c>
      <c r="CK146" s="19">
        <v>0</v>
      </c>
      <c r="CL146" s="19">
        <v>0</v>
      </c>
      <c r="CM146" s="19">
        <v>0</v>
      </c>
      <c r="CN146" s="19">
        <v>0</v>
      </c>
      <c r="CO146" s="19">
        <v>0</v>
      </c>
      <c r="CP146" s="19">
        <v>1</v>
      </c>
      <c r="CQ146" s="19">
        <v>1</v>
      </c>
      <c r="CR146" s="19">
        <v>1</v>
      </c>
      <c r="CS146" s="19">
        <v>1</v>
      </c>
      <c r="CT146" s="19">
        <v>0</v>
      </c>
      <c r="CU146" s="19">
        <v>1</v>
      </c>
      <c r="CV146" s="19">
        <v>0</v>
      </c>
      <c r="CW146" s="19">
        <v>0</v>
      </c>
      <c r="CX146" s="19">
        <v>0</v>
      </c>
      <c r="CY146" s="19">
        <v>0</v>
      </c>
      <c r="CZ146" s="19">
        <v>0</v>
      </c>
      <c r="DA146" s="19">
        <v>0</v>
      </c>
      <c r="DB146" s="19">
        <v>0</v>
      </c>
      <c r="DC146" s="19">
        <v>0</v>
      </c>
      <c r="DD146" s="19">
        <v>0</v>
      </c>
      <c r="DE146" s="19">
        <v>0</v>
      </c>
      <c r="DF146" s="19">
        <v>0</v>
      </c>
      <c r="DG146" s="19">
        <v>0</v>
      </c>
      <c r="DH146" s="19">
        <v>0</v>
      </c>
      <c r="DI146" s="19">
        <v>0</v>
      </c>
      <c r="DJ146" s="21">
        <v>20202</v>
      </c>
      <c r="DK146" s="19">
        <v>5873260</v>
      </c>
      <c r="DL146" s="19">
        <v>3998335</v>
      </c>
      <c r="DM146" s="19">
        <v>0</v>
      </c>
      <c r="DN146" s="19">
        <v>340832</v>
      </c>
      <c r="DO146" s="19">
        <v>36932</v>
      </c>
      <c r="DP146" s="19">
        <v>704068</v>
      </c>
      <c r="DQ146" s="19">
        <v>0</v>
      </c>
      <c r="DR146" s="19">
        <v>766841</v>
      </c>
      <c r="DS146" s="19">
        <v>26252</v>
      </c>
      <c r="DT146" s="22">
        <v>0.13</v>
      </c>
    </row>
    <row r="147" spans="1:124" x14ac:dyDescent="0.35">
      <c r="A147" s="19" t="s">
        <v>248</v>
      </c>
      <c r="B147" s="19" t="s">
        <v>273</v>
      </c>
      <c r="C147" s="19">
        <v>390373.89840514015</v>
      </c>
      <c r="D147" s="19">
        <v>62459.823744822424</v>
      </c>
      <c r="E147" s="20">
        <v>499588</v>
      </c>
      <c r="F147" s="19">
        <v>0</v>
      </c>
      <c r="G147" s="19">
        <v>1257</v>
      </c>
      <c r="H147" s="19">
        <v>0</v>
      </c>
      <c r="I147" s="19">
        <v>442772</v>
      </c>
      <c r="J147" s="19">
        <v>0</v>
      </c>
      <c r="K147" s="19">
        <v>265</v>
      </c>
      <c r="L147" s="19">
        <v>0</v>
      </c>
      <c r="M147" s="19">
        <v>3980</v>
      </c>
      <c r="N147" s="19">
        <v>698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50330</v>
      </c>
      <c r="V147" s="19">
        <v>0</v>
      </c>
      <c r="W147" s="19">
        <v>0</v>
      </c>
      <c r="X147" s="19">
        <v>0</v>
      </c>
      <c r="Y147" s="19">
        <v>286</v>
      </c>
      <c r="Z147" s="19">
        <v>0</v>
      </c>
      <c r="AA147" s="19">
        <v>0</v>
      </c>
      <c r="AB147" s="19">
        <v>0</v>
      </c>
      <c r="AC147" s="19">
        <v>0</v>
      </c>
      <c r="AD147" s="19">
        <v>9599.2584615384621</v>
      </c>
      <c r="AE147" s="19">
        <v>4427.72</v>
      </c>
      <c r="AF147" s="19">
        <v>796</v>
      </c>
      <c r="AG147" s="19">
        <v>504</v>
      </c>
      <c r="AH147" s="19">
        <v>3871.5384615384614</v>
      </c>
      <c r="AI147" s="19">
        <v>0</v>
      </c>
      <c r="AJ147" s="19">
        <v>0</v>
      </c>
      <c r="AK147" s="19">
        <v>10331</v>
      </c>
      <c r="AL147" s="19">
        <v>3691</v>
      </c>
      <c r="AM147" s="19">
        <v>929</v>
      </c>
      <c r="AN147" s="19">
        <v>2383</v>
      </c>
      <c r="AO147" s="19">
        <v>3328</v>
      </c>
      <c r="AP147" s="19">
        <v>0</v>
      </c>
      <c r="AQ147" s="19">
        <v>0</v>
      </c>
      <c r="AR147" s="19">
        <v>6628</v>
      </c>
      <c r="AS147" s="19">
        <v>504</v>
      </c>
      <c r="AT147" s="19">
        <v>0</v>
      </c>
      <c r="AU147" s="19">
        <v>0</v>
      </c>
      <c r="AV147" s="19">
        <v>0</v>
      </c>
      <c r="AW147" s="19">
        <v>666</v>
      </c>
      <c r="AX147" s="19">
        <v>0</v>
      </c>
      <c r="AY147" s="19">
        <v>0</v>
      </c>
      <c r="AZ147" s="19">
        <v>0</v>
      </c>
      <c r="BA147" s="19">
        <v>2</v>
      </c>
      <c r="BB147" s="19">
        <v>1</v>
      </c>
      <c r="BC147" s="19">
        <v>0</v>
      </c>
      <c r="BD147" s="19">
        <v>3</v>
      </c>
      <c r="BE147" s="19">
        <v>0</v>
      </c>
      <c r="BF147" s="19">
        <v>0</v>
      </c>
      <c r="BG147" s="19">
        <v>0</v>
      </c>
      <c r="BH147" s="19">
        <v>32</v>
      </c>
      <c r="BI147" s="19">
        <v>3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>
        <v>0</v>
      </c>
      <c r="BW147" s="19">
        <v>0</v>
      </c>
      <c r="BX147" s="19">
        <v>0</v>
      </c>
      <c r="BY147" s="19">
        <v>0</v>
      </c>
      <c r="BZ147" s="19">
        <v>0</v>
      </c>
      <c r="CA147" s="19">
        <v>0</v>
      </c>
      <c r="CB147" s="19">
        <v>0</v>
      </c>
      <c r="CC147" s="19">
        <v>0</v>
      </c>
      <c r="CD147" s="19">
        <v>0</v>
      </c>
      <c r="CE147" s="19">
        <v>0</v>
      </c>
      <c r="CF147" s="19">
        <v>0</v>
      </c>
      <c r="CG147" s="19">
        <v>0</v>
      </c>
      <c r="CH147" s="19">
        <v>0</v>
      </c>
      <c r="CI147" s="19">
        <v>0</v>
      </c>
      <c r="CJ147" s="19">
        <v>0</v>
      </c>
      <c r="CK147" s="19">
        <v>0</v>
      </c>
      <c r="CL147" s="19">
        <v>0</v>
      </c>
      <c r="CM147" s="19">
        <v>0</v>
      </c>
      <c r="CN147" s="19">
        <v>0</v>
      </c>
      <c r="CO147" s="19">
        <v>0</v>
      </c>
      <c r="CP147" s="19">
        <v>1</v>
      </c>
      <c r="CQ147" s="19">
        <v>1</v>
      </c>
      <c r="CR147" s="19">
        <v>1</v>
      </c>
      <c r="CS147" s="19">
        <v>1</v>
      </c>
      <c r="CT147" s="19">
        <v>0</v>
      </c>
      <c r="CU147" s="19">
        <v>1</v>
      </c>
      <c r="CV147" s="19">
        <v>0</v>
      </c>
      <c r="CW147" s="19">
        <v>0</v>
      </c>
      <c r="CX147" s="19">
        <v>0</v>
      </c>
      <c r="CY147" s="19">
        <v>0</v>
      </c>
      <c r="CZ147" s="19">
        <v>0</v>
      </c>
      <c r="DA147" s="19">
        <v>0</v>
      </c>
      <c r="DB147" s="19">
        <v>0</v>
      </c>
      <c r="DC147" s="19">
        <v>0</v>
      </c>
      <c r="DD147" s="19">
        <v>0</v>
      </c>
      <c r="DE147" s="19">
        <v>0</v>
      </c>
      <c r="DF147" s="19">
        <v>0</v>
      </c>
      <c r="DG147" s="19">
        <v>0</v>
      </c>
      <c r="DH147" s="19">
        <v>0</v>
      </c>
      <c r="DI147" s="19">
        <v>0</v>
      </c>
      <c r="DJ147" s="21">
        <v>20203</v>
      </c>
      <c r="DK147" s="19">
        <v>6367482</v>
      </c>
      <c r="DL147" s="19">
        <v>4137677</v>
      </c>
      <c r="DM147" s="19">
        <v>0</v>
      </c>
      <c r="DN147" s="19">
        <v>455432</v>
      </c>
      <c r="DO147" s="19">
        <v>129548</v>
      </c>
      <c r="DP147" s="19">
        <v>428105</v>
      </c>
      <c r="DQ147" s="19">
        <v>0</v>
      </c>
      <c r="DR147" s="19">
        <v>1189445</v>
      </c>
      <c r="DS147" s="19">
        <v>27275</v>
      </c>
      <c r="DT147" s="22">
        <v>0.11</v>
      </c>
    </row>
    <row r="148" spans="1:124" x14ac:dyDescent="0.35">
      <c r="A148" s="19" t="s">
        <v>248</v>
      </c>
      <c r="B148" s="19" t="s">
        <v>274</v>
      </c>
      <c r="C148" s="19">
        <v>410033.27938877494</v>
      </c>
      <c r="D148" s="19">
        <v>65605.324702203987</v>
      </c>
      <c r="E148" s="20">
        <v>60104</v>
      </c>
      <c r="F148" s="19">
        <v>0</v>
      </c>
      <c r="G148" s="19">
        <v>0</v>
      </c>
      <c r="H148" s="19">
        <v>0</v>
      </c>
      <c r="I148" s="19">
        <v>41783</v>
      </c>
      <c r="J148" s="19">
        <v>0</v>
      </c>
      <c r="K148" s="19">
        <v>0</v>
      </c>
      <c r="L148" s="19">
        <v>0</v>
      </c>
      <c r="M148" s="19">
        <v>2659</v>
      </c>
      <c r="N148" s="19">
        <v>117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15540</v>
      </c>
      <c r="V148" s="19">
        <v>0</v>
      </c>
      <c r="W148" s="19">
        <v>0</v>
      </c>
      <c r="X148" s="19">
        <v>0</v>
      </c>
      <c r="Y148" s="19">
        <v>5</v>
      </c>
      <c r="Z148" s="19">
        <v>0</v>
      </c>
      <c r="AA148" s="19">
        <v>0</v>
      </c>
      <c r="AB148" s="19">
        <v>0</v>
      </c>
      <c r="AC148" s="19">
        <v>0</v>
      </c>
      <c r="AD148" s="19">
        <v>2492.0146153846154</v>
      </c>
      <c r="AE148" s="19">
        <v>417.83</v>
      </c>
      <c r="AF148" s="19">
        <v>531.79999999999995</v>
      </c>
      <c r="AG148" s="19">
        <v>347</v>
      </c>
      <c r="AH148" s="19">
        <v>1195.3846153846155</v>
      </c>
      <c r="AI148" s="19">
        <v>0</v>
      </c>
      <c r="AJ148" s="19">
        <v>0</v>
      </c>
      <c r="AK148" s="19">
        <v>2495</v>
      </c>
      <c r="AL148" s="19">
        <v>348</v>
      </c>
      <c r="AM148" s="19">
        <v>620</v>
      </c>
      <c r="AN148" s="19">
        <v>461</v>
      </c>
      <c r="AO148" s="19">
        <v>1066</v>
      </c>
      <c r="AP148" s="19">
        <v>0</v>
      </c>
      <c r="AQ148" s="19">
        <v>0</v>
      </c>
      <c r="AR148" s="19">
        <v>3506</v>
      </c>
      <c r="AS148" s="19">
        <v>347</v>
      </c>
      <c r="AT148" s="19">
        <v>0</v>
      </c>
      <c r="AU148" s="19">
        <v>0</v>
      </c>
      <c r="AV148" s="19">
        <v>0</v>
      </c>
      <c r="AW148" s="19">
        <v>358</v>
      </c>
      <c r="AX148" s="19">
        <v>0</v>
      </c>
      <c r="AY148" s="19">
        <v>0</v>
      </c>
      <c r="AZ148" s="19">
        <v>1</v>
      </c>
      <c r="BA148" s="19">
        <v>1</v>
      </c>
      <c r="BB148" s="19">
        <v>0</v>
      </c>
      <c r="BC148" s="19">
        <v>0</v>
      </c>
      <c r="BD148" s="19">
        <v>2</v>
      </c>
      <c r="BE148" s="19">
        <v>0</v>
      </c>
      <c r="BF148" s="19">
        <v>0</v>
      </c>
      <c r="BG148" s="19">
        <v>0</v>
      </c>
      <c r="BH148" s="19">
        <v>66</v>
      </c>
      <c r="BI148" s="19">
        <v>0</v>
      </c>
      <c r="BJ148" s="19">
        <v>0</v>
      </c>
      <c r="BK148" s="19">
        <v>0</v>
      </c>
      <c r="BL148" s="19">
        <v>0</v>
      </c>
      <c r="BM148" s="19">
        <v>0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>
        <v>0</v>
      </c>
      <c r="BW148" s="19">
        <v>0</v>
      </c>
      <c r="BX148" s="19">
        <v>0</v>
      </c>
      <c r="BY148" s="19">
        <v>0</v>
      </c>
      <c r="BZ148" s="19">
        <v>0</v>
      </c>
      <c r="CA148" s="19">
        <v>0</v>
      </c>
      <c r="CB148" s="19">
        <v>0</v>
      </c>
      <c r="CC148" s="19">
        <v>0</v>
      </c>
      <c r="CD148" s="19">
        <v>0</v>
      </c>
      <c r="CE148" s="19">
        <v>0</v>
      </c>
      <c r="CF148" s="19">
        <v>0</v>
      </c>
      <c r="CG148" s="19">
        <v>0</v>
      </c>
      <c r="CH148" s="19">
        <v>0</v>
      </c>
      <c r="CI148" s="19">
        <v>0</v>
      </c>
      <c r="CJ148" s="19">
        <v>0</v>
      </c>
      <c r="CK148" s="19">
        <v>0</v>
      </c>
      <c r="CL148" s="19">
        <v>0</v>
      </c>
      <c r="CM148" s="19">
        <v>0</v>
      </c>
      <c r="CN148" s="19">
        <v>0</v>
      </c>
      <c r="CO148" s="19">
        <v>0</v>
      </c>
      <c r="CP148" s="19">
        <v>1</v>
      </c>
      <c r="CQ148" s="19">
        <v>1</v>
      </c>
      <c r="CR148" s="19">
        <v>1</v>
      </c>
      <c r="CS148" s="19">
        <v>1</v>
      </c>
      <c r="CT148" s="19">
        <v>0</v>
      </c>
      <c r="CU148" s="19">
        <v>1</v>
      </c>
      <c r="CV148" s="19">
        <v>0</v>
      </c>
      <c r="CW148" s="19">
        <v>0</v>
      </c>
      <c r="CX148" s="19">
        <v>0</v>
      </c>
      <c r="CY148" s="19">
        <v>0</v>
      </c>
      <c r="CZ148" s="19">
        <v>0</v>
      </c>
      <c r="DA148" s="19">
        <v>0</v>
      </c>
      <c r="DB148" s="19">
        <v>0</v>
      </c>
      <c r="DC148" s="19">
        <v>0</v>
      </c>
      <c r="DD148" s="19">
        <v>0</v>
      </c>
      <c r="DE148" s="19">
        <v>0</v>
      </c>
      <c r="DF148" s="19">
        <v>0</v>
      </c>
      <c r="DG148" s="19">
        <v>0</v>
      </c>
      <c r="DH148" s="19">
        <v>0</v>
      </c>
      <c r="DI148" s="19">
        <v>0</v>
      </c>
      <c r="DJ148" s="21">
        <v>20209</v>
      </c>
      <c r="DK148" s="19">
        <v>1218174</v>
      </c>
      <c r="DL148" s="19">
        <v>534961</v>
      </c>
      <c r="DM148" s="19">
        <v>0</v>
      </c>
      <c r="DN148" s="19">
        <v>317534</v>
      </c>
      <c r="DO148" s="19">
        <v>11700</v>
      </c>
      <c r="DP148" s="19">
        <v>1679</v>
      </c>
      <c r="DQ148" s="19">
        <v>0</v>
      </c>
      <c r="DR148" s="19">
        <v>352300</v>
      </c>
      <c r="DS148" s="19">
        <v>0</v>
      </c>
      <c r="DT148" s="22">
        <v>0.1</v>
      </c>
    </row>
    <row r="149" spans="1:124" x14ac:dyDescent="0.35">
      <c r="A149" s="19" t="s">
        <v>248</v>
      </c>
      <c r="B149" s="19" t="s">
        <v>275</v>
      </c>
      <c r="C149" s="19">
        <v>2799153.3308451618</v>
      </c>
      <c r="D149" s="19">
        <v>447864.53293522587</v>
      </c>
      <c r="E149" s="20">
        <v>16768995</v>
      </c>
      <c r="F149" s="19">
        <v>2626</v>
      </c>
      <c r="G149" s="19">
        <v>44270</v>
      </c>
      <c r="H149" s="19">
        <v>8252</v>
      </c>
      <c r="I149" s="19">
        <v>15577857</v>
      </c>
      <c r="J149" s="19">
        <v>149</v>
      </c>
      <c r="K149" s="19">
        <v>4083</v>
      </c>
      <c r="L149" s="19">
        <v>0</v>
      </c>
      <c r="M149" s="19">
        <v>78661</v>
      </c>
      <c r="N149" s="19">
        <v>4159</v>
      </c>
      <c r="O149" s="19">
        <v>0</v>
      </c>
      <c r="P149" s="19">
        <v>480</v>
      </c>
      <c r="Q149" s="19">
        <v>0</v>
      </c>
      <c r="R149" s="19">
        <v>68</v>
      </c>
      <c r="S149" s="19">
        <v>450</v>
      </c>
      <c r="T149" s="19">
        <v>0</v>
      </c>
      <c r="U149" s="19">
        <v>1030501</v>
      </c>
      <c r="V149" s="19">
        <v>2</v>
      </c>
      <c r="W149" s="19">
        <v>1</v>
      </c>
      <c r="X149" s="19">
        <v>0</v>
      </c>
      <c r="Y149" s="19">
        <v>7331</v>
      </c>
      <c r="Z149" s="19">
        <v>10105</v>
      </c>
      <c r="AA149" s="19">
        <v>0</v>
      </c>
      <c r="AB149" s="19">
        <v>0</v>
      </c>
      <c r="AC149" s="19">
        <v>0</v>
      </c>
      <c r="AD149" s="19">
        <v>256537.07769230771</v>
      </c>
      <c r="AE149" s="19">
        <v>155778.57</v>
      </c>
      <c r="AF149" s="19">
        <v>15732.2</v>
      </c>
      <c r="AG149" s="19">
        <v>5757</v>
      </c>
      <c r="AH149" s="19">
        <v>79269.307692307688</v>
      </c>
      <c r="AI149" s="19">
        <v>0</v>
      </c>
      <c r="AJ149" s="19">
        <v>0</v>
      </c>
      <c r="AK149" s="19">
        <v>218793</v>
      </c>
      <c r="AL149" s="19">
        <v>129815</v>
      </c>
      <c r="AM149" s="19">
        <v>15568</v>
      </c>
      <c r="AN149" s="19">
        <v>14845</v>
      </c>
      <c r="AO149" s="19">
        <v>58565</v>
      </c>
      <c r="AP149" s="19">
        <v>0</v>
      </c>
      <c r="AQ149" s="19">
        <v>0</v>
      </c>
      <c r="AR149" s="19">
        <v>66994</v>
      </c>
      <c r="AS149" s="19">
        <v>5757</v>
      </c>
      <c r="AT149" s="19">
        <v>7</v>
      </c>
      <c r="AU149" s="19">
        <v>141</v>
      </c>
      <c r="AV149" s="19">
        <v>425</v>
      </c>
      <c r="AW149" s="19">
        <v>8028</v>
      </c>
      <c r="AX149" s="19">
        <v>259</v>
      </c>
      <c r="AY149" s="19">
        <v>0</v>
      </c>
      <c r="AZ149" s="19">
        <v>38</v>
      </c>
      <c r="BA149" s="19">
        <v>75</v>
      </c>
      <c r="BB149" s="19">
        <v>2</v>
      </c>
      <c r="BC149" s="19">
        <v>0</v>
      </c>
      <c r="BD149" s="19">
        <v>115</v>
      </c>
      <c r="BE149" s="19">
        <v>0</v>
      </c>
      <c r="BF149" s="19">
        <v>0</v>
      </c>
      <c r="BG149" s="19">
        <v>0</v>
      </c>
      <c r="BH149" s="19">
        <v>628</v>
      </c>
      <c r="BI149" s="19">
        <v>692</v>
      </c>
      <c r="BJ149" s="19">
        <v>0</v>
      </c>
      <c r="BK149" s="19">
        <v>0</v>
      </c>
      <c r="BL149" s="19">
        <v>0</v>
      </c>
      <c r="BM149" s="19">
        <v>0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>
        <v>0</v>
      </c>
      <c r="BW149" s="19">
        <v>0</v>
      </c>
      <c r="BX149" s="19">
        <v>0</v>
      </c>
      <c r="BY149" s="19">
        <v>0</v>
      </c>
      <c r="BZ149" s="19">
        <v>0</v>
      </c>
      <c r="CA149" s="19">
        <v>0</v>
      </c>
      <c r="CB149" s="19">
        <v>0</v>
      </c>
      <c r="CC149" s="19">
        <v>0</v>
      </c>
      <c r="CD149" s="19">
        <v>0</v>
      </c>
      <c r="CE149" s="19">
        <v>0</v>
      </c>
      <c r="CF149" s="19">
        <v>0</v>
      </c>
      <c r="CG149" s="19">
        <v>0</v>
      </c>
      <c r="CH149" s="19">
        <v>0</v>
      </c>
      <c r="CI149" s="19">
        <v>0</v>
      </c>
      <c r="CJ149" s="19">
        <v>0</v>
      </c>
      <c r="CK149" s="19">
        <v>0</v>
      </c>
      <c r="CL149" s="19">
        <v>0</v>
      </c>
      <c r="CM149" s="19">
        <v>0</v>
      </c>
      <c r="CN149" s="19">
        <v>0</v>
      </c>
      <c r="CO149" s="19">
        <v>0</v>
      </c>
      <c r="CP149" s="19">
        <v>1</v>
      </c>
      <c r="CQ149" s="19">
        <v>1</v>
      </c>
      <c r="CR149" s="19">
        <v>1</v>
      </c>
      <c r="CS149" s="19">
        <v>1</v>
      </c>
      <c r="CT149" s="19">
        <v>0</v>
      </c>
      <c r="CU149" s="19">
        <v>1</v>
      </c>
      <c r="CV149" s="19">
        <v>0</v>
      </c>
      <c r="CW149" s="19">
        <v>0</v>
      </c>
      <c r="CX149" s="19">
        <v>0</v>
      </c>
      <c r="CY149" s="19">
        <v>0</v>
      </c>
      <c r="CZ149" s="19">
        <v>0</v>
      </c>
      <c r="DA149" s="19">
        <v>0</v>
      </c>
      <c r="DB149" s="19">
        <v>0</v>
      </c>
      <c r="DC149" s="19">
        <v>0</v>
      </c>
      <c r="DD149" s="19">
        <v>0</v>
      </c>
      <c r="DE149" s="19">
        <v>0</v>
      </c>
      <c r="DF149" s="19">
        <v>0</v>
      </c>
      <c r="DG149" s="19">
        <v>0</v>
      </c>
      <c r="DH149" s="19">
        <v>0</v>
      </c>
      <c r="DI149" s="19">
        <v>0</v>
      </c>
      <c r="DJ149" s="21">
        <v>20201</v>
      </c>
      <c r="DK149" s="19">
        <v>234101892</v>
      </c>
      <c r="DL149" s="19">
        <v>191440221</v>
      </c>
      <c r="DM149" s="19">
        <v>0</v>
      </c>
      <c r="DN149" s="19">
        <v>7063618</v>
      </c>
      <c r="DO149" s="19">
        <v>515437</v>
      </c>
      <c r="DP149" s="19">
        <v>10157201</v>
      </c>
      <c r="DQ149" s="19">
        <v>1175682</v>
      </c>
      <c r="DR149" s="19">
        <v>22785950</v>
      </c>
      <c r="DS149" s="19">
        <v>963783</v>
      </c>
      <c r="DT149" s="22">
        <v>0.14000000000000001</v>
      </c>
    </row>
    <row r="150" spans="1:124" x14ac:dyDescent="0.35">
      <c r="A150" s="19" t="s">
        <v>248</v>
      </c>
      <c r="B150" s="19" t="s">
        <v>276</v>
      </c>
      <c r="C150" s="19">
        <v>206728.16734927963</v>
      </c>
      <c r="D150" s="19">
        <v>33076.506775884744</v>
      </c>
      <c r="E150" s="20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0</v>
      </c>
      <c r="BN150" s="19">
        <v>0</v>
      </c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>
        <v>0</v>
      </c>
      <c r="BW150" s="19">
        <v>0</v>
      </c>
      <c r="BX150" s="19">
        <v>0</v>
      </c>
      <c r="BY150" s="19">
        <v>0</v>
      </c>
      <c r="BZ150" s="19">
        <v>0</v>
      </c>
      <c r="CA150" s="19">
        <v>0</v>
      </c>
      <c r="CB150" s="19">
        <v>0</v>
      </c>
      <c r="CC150" s="19">
        <v>0</v>
      </c>
      <c r="CD150" s="19">
        <v>0</v>
      </c>
      <c r="CE150" s="19">
        <v>0</v>
      </c>
      <c r="CF150" s="19">
        <v>0</v>
      </c>
      <c r="CG150" s="19">
        <v>0</v>
      </c>
      <c r="CH150" s="19">
        <v>0</v>
      </c>
      <c r="CI150" s="19">
        <v>0</v>
      </c>
      <c r="CJ150" s="19">
        <v>0</v>
      </c>
      <c r="CK150" s="19">
        <v>0</v>
      </c>
      <c r="CL150" s="19">
        <v>0</v>
      </c>
      <c r="CM150" s="19">
        <v>0</v>
      </c>
      <c r="CN150" s="19">
        <v>0</v>
      </c>
      <c r="CO150" s="19">
        <v>0</v>
      </c>
      <c r="CP150" s="19">
        <v>0</v>
      </c>
      <c r="CQ150" s="19">
        <v>0</v>
      </c>
      <c r="CR150" s="19">
        <v>0</v>
      </c>
      <c r="CS150" s="19">
        <v>0</v>
      </c>
      <c r="CT150" s="19">
        <v>0</v>
      </c>
      <c r="CU150" s="19">
        <v>0</v>
      </c>
      <c r="CV150" s="19">
        <v>0</v>
      </c>
      <c r="CW150" s="19">
        <v>0</v>
      </c>
      <c r="CX150" s="19">
        <v>0</v>
      </c>
      <c r="CY150" s="19">
        <v>0</v>
      </c>
      <c r="CZ150" s="19">
        <v>0</v>
      </c>
      <c r="DA150" s="19">
        <v>0</v>
      </c>
      <c r="DB150" s="19">
        <v>0</v>
      </c>
      <c r="DC150" s="19">
        <v>0</v>
      </c>
      <c r="DD150" s="19">
        <v>0</v>
      </c>
      <c r="DE150" s="19">
        <v>0</v>
      </c>
      <c r="DF150" s="19">
        <v>0</v>
      </c>
      <c r="DG150" s="19">
        <v>0</v>
      </c>
      <c r="DH150" s="19">
        <v>0</v>
      </c>
      <c r="DI150" s="19">
        <v>0</v>
      </c>
      <c r="DJ150" s="21">
        <v>20243</v>
      </c>
      <c r="DK150" s="19">
        <v>0</v>
      </c>
      <c r="DL150" s="19">
        <v>0</v>
      </c>
      <c r="DM150" s="19">
        <v>0</v>
      </c>
      <c r="DN150" s="19">
        <v>0</v>
      </c>
      <c r="DO150" s="19">
        <v>0</v>
      </c>
      <c r="DP150" s="19">
        <v>0</v>
      </c>
      <c r="DQ150" s="19">
        <v>0</v>
      </c>
      <c r="DR150" s="19">
        <v>0</v>
      </c>
      <c r="DS150" s="19">
        <v>0</v>
      </c>
      <c r="DT150" s="22">
        <v>0.1</v>
      </c>
    </row>
    <row r="151" spans="1:124" x14ac:dyDescent="0.35">
      <c r="A151" s="19" t="s">
        <v>248</v>
      </c>
      <c r="B151" s="19" t="s">
        <v>277</v>
      </c>
      <c r="C151" s="19">
        <v>241736.29539304352</v>
      </c>
      <c r="D151" s="19">
        <v>38677.807262886963</v>
      </c>
      <c r="E151" s="20">
        <v>109393</v>
      </c>
      <c r="F151" s="19">
        <v>0</v>
      </c>
      <c r="G151" s="19">
        <v>18</v>
      </c>
      <c r="H151" s="19">
        <v>0</v>
      </c>
      <c r="I151" s="19">
        <v>88632</v>
      </c>
      <c r="J151" s="19">
        <v>0</v>
      </c>
      <c r="K151" s="19">
        <v>0</v>
      </c>
      <c r="L151" s="19">
        <v>0</v>
      </c>
      <c r="M151" s="19">
        <v>6106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14637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3233.4430769230767</v>
      </c>
      <c r="AE151" s="19">
        <v>886.32</v>
      </c>
      <c r="AF151" s="19">
        <v>1221.2</v>
      </c>
      <c r="AG151" s="19">
        <v>0</v>
      </c>
      <c r="AH151" s="19">
        <v>1125.9230769230769</v>
      </c>
      <c r="AI151" s="19">
        <v>0</v>
      </c>
      <c r="AJ151" s="19">
        <v>0</v>
      </c>
      <c r="AK151" s="19">
        <v>2766</v>
      </c>
      <c r="AL151" s="19">
        <v>740</v>
      </c>
      <c r="AM151" s="19">
        <v>1226</v>
      </c>
      <c r="AN151" s="19">
        <v>0</v>
      </c>
      <c r="AO151" s="19">
        <v>800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39</v>
      </c>
      <c r="BI151" s="19">
        <v>2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>
        <v>0</v>
      </c>
      <c r="BW151" s="19">
        <v>0</v>
      </c>
      <c r="BX151" s="19">
        <v>0</v>
      </c>
      <c r="BY151" s="19">
        <v>0</v>
      </c>
      <c r="BZ151" s="19">
        <v>0</v>
      </c>
      <c r="CA151" s="19">
        <v>0</v>
      </c>
      <c r="CB151" s="19">
        <v>0</v>
      </c>
      <c r="CC151" s="19">
        <v>0</v>
      </c>
      <c r="CD151" s="19">
        <v>0</v>
      </c>
      <c r="CE151" s="19">
        <v>0</v>
      </c>
      <c r="CF151" s="19">
        <v>0</v>
      </c>
      <c r="CG151" s="19">
        <v>0</v>
      </c>
      <c r="CH151" s="19">
        <v>0</v>
      </c>
      <c r="CI151" s="19">
        <v>0</v>
      </c>
      <c r="CJ151" s="19">
        <v>0</v>
      </c>
      <c r="CK151" s="19">
        <v>0</v>
      </c>
      <c r="CL151" s="19">
        <v>0</v>
      </c>
      <c r="CM151" s="19">
        <v>0</v>
      </c>
      <c r="CN151" s="19">
        <v>0</v>
      </c>
      <c r="CO151" s="19">
        <v>0</v>
      </c>
      <c r="CP151" s="19">
        <v>0</v>
      </c>
      <c r="CQ151" s="19">
        <v>0</v>
      </c>
      <c r="CR151" s="19">
        <v>0</v>
      </c>
      <c r="CS151" s="19">
        <v>0</v>
      </c>
      <c r="CT151" s="19">
        <v>0</v>
      </c>
      <c r="CU151" s="19">
        <v>0</v>
      </c>
      <c r="CV151" s="19">
        <v>0</v>
      </c>
      <c r="CW151" s="19">
        <v>0</v>
      </c>
      <c r="CX151" s="19">
        <v>0</v>
      </c>
      <c r="CY151" s="19">
        <v>0</v>
      </c>
      <c r="CZ151" s="19">
        <v>0</v>
      </c>
      <c r="DA151" s="19">
        <v>0</v>
      </c>
      <c r="DB151" s="19">
        <v>0</v>
      </c>
      <c r="DC151" s="19">
        <v>0</v>
      </c>
      <c r="DD151" s="19">
        <v>0</v>
      </c>
      <c r="DE151" s="19">
        <v>0</v>
      </c>
      <c r="DF151" s="19">
        <v>0</v>
      </c>
      <c r="DG151" s="19">
        <v>0</v>
      </c>
      <c r="DH151" s="19">
        <v>0</v>
      </c>
      <c r="DI151" s="19">
        <v>0</v>
      </c>
      <c r="DJ151" s="21">
        <v>20212</v>
      </c>
      <c r="DK151" s="19">
        <v>1896579</v>
      </c>
      <c r="DL151" s="19">
        <v>1030910</v>
      </c>
      <c r="DM151" s="19">
        <v>0</v>
      </c>
      <c r="DN151" s="19">
        <v>593270</v>
      </c>
      <c r="DO151" s="19">
        <v>0</v>
      </c>
      <c r="DP151" s="19">
        <v>93</v>
      </c>
      <c r="DQ151" s="19">
        <v>0</v>
      </c>
      <c r="DR151" s="19">
        <v>271940</v>
      </c>
      <c r="DS151" s="19">
        <v>366</v>
      </c>
      <c r="DT151" s="22">
        <v>0.13</v>
      </c>
    </row>
    <row r="152" spans="1:124" x14ac:dyDescent="0.35">
      <c r="A152" s="19" t="s">
        <v>248</v>
      </c>
      <c r="B152" s="19" t="s">
        <v>278</v>
      </c>
      <c r="C152" s="19">
        <v>258946.47706712576</v>
      </c>
      <c r="D152" s="19">
        <v>41431.436330740122</v>
      </c>
      <c r="E152" s="20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3</v>
      </c>
      <c r="BA152" s="19">
        <v>0</v>
      </c>
      <c r="BB152" s="19">
        <v>0</v>
      </c>
      <c r="BC152" s="19">
        <v>0</v>
      </c>
      <c r="BD152" s="19">
        <v>3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>
        <v>0</v>
      </c>
      <c r="BM152" s="19">
        <v>0</v>
      </c>
      <c r="BN152" s="19">
        <v>0</v>
      </c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>
        <v>0</v>
      </c>
      <c r="BW152" s="19">
        <v>0</v>
      </c>
      <c r="BX152" s="19">
        <v>0</v>
      </c>
      <c r="BY152" s="19">
        <v>0</v>
      </c>
      <c r="BZ152" s="19">
        <v>0</v>
      </c>
      <c r="CA152" s="19">
        <v>0</v>
      </c>
      <c r="CB152" s="19">
        <v>0</v>
      </c>
      <c r="CC152" s="19">
        <v>0</v>
      </c>
      <c r="CD152" s="19">
        <v>0</v>
      </c>
      <c r="CE152" s="19">
        <v>0</v>
      </c>
      <c r="CF152" s="19">
        <v>0</v>
      </c>
      <c r="CG152" s="19">
        <v>0</v>
      </c>
      <c r="CH152" s="19">
        <v>0</v>
      </c>
      <c r="CI152" s="19">
        <v>0</v>
      </c>
      <c r="CJ152" s="19">
        <v>0</v>
      </c>
      <c r="CK152" s="19">
        <v>0</v>
      </c>
      <c r="CL152" s="19">
        <v>0</v>
      </c>
      <c r="CM152" s="19">
        <v>0</v>
      </c>
      <c r="CN152" s="19">
        <v>0</v>
      </c>
      <c r="CO152" s="19">
        <v>0</v>
      </c>
      <c r="CP152" s="19">
        <v>0</v>
      </c>
      <c r="CQ152" s="19">
        <v>0</v>
      </c>
      <c r="CR152" s="19">
        <v>0</v>
      </c>
      <c r="CS152" s="19">
        <v>0</v>
      </c>
      <c r="CT152" s="19">
        <v>0</v>
      </c>
      <c r="CU152" s="19">
        <v>0</v>
      </c>
      <c r="CV152" s="19">
        <v>0</v>
      </c>
      <c r="CW152" s="19">
        <v>0</v>
      </c>
      <c r="CX152" s="19">
        <v>0</v>
      </c>
      <c r="CY152" s="19">
        <v>0</v>
      </c>
      <c r="CZ152" s="19">
        <v>0</v>
      </c>
      <c r="DA152" s="19">
        <v>0</v>
      </c>
      <c r="DB152" s="19">
        <v>0</v>
      </c>
      <c r="DC152" s="19">
        <v>0</v>
      </c>
      <c r="DD152" s="19">
        <v>0</v>
      </c>
      <c r="DE152" s="19">
        <v>0</v>
      </c>
      <c r="DF152" s="19">
        <v>0</v>
      </c>
      <c r="DG152" s="19">
        <v>0</v>
      </c>
      <c r="DH152" s="19">
        <v>0</v>
      </c>
      <c r="DI152" s="19">
        <v>0</v>
      </c>
      <c r="DJ152" s="21">
        <v>20244</v>
      </c>
      <c r="DK152" s="19">
        <v>0</v>
      </c>
      <c r="DL152" s="19">
        <v>0</v>
      </c>
      <c r="DM152" s="19">
        <v>0</v>
      </c>
      <c r="DN152" s="19">
        <v>0</v>
      </c>
      <c r="DO152" s="19">
        <v>0</v>
      </c>
      <c r="DP152" s="19">
        <v>0</v>
      </c>
      <c r="DQ152" s="19">
        <v>0</v>
      </c>
      <c r="DR152" s="19">
        <v>0</v>
      </c>
      <c r="DS152" s="19">
        <v>0</v>
      </c>
      <c r="DT152" s="22">
        <v>0.1</v>
      </c>
    </row>
    <row r="153" spans="1:124" x14ac:dyDescent="0.35">
      <c r="A153" s="19" t="s">
        <v>248</v>
      </c>
      <c r="B153" s="19" t="s">
        <v>279</v>
      </c>
      <c r="C153" s="19">
        <v>300933.36721221724</v>
      </c>
      <c r="D153" s="19">
        <v>48149.338753954762</v>
      </c>
      <c r="E153" s="20">
        <v>78465</v>
      </c>
      <c r="F153" s="19">
        <v>0</v>
      </c>
      <c r="G153" s="19">
        <v>350</v>
      </c>
      <c r="H153" s="19">
        <v>0</v>
      </c>
      <c r="I153" s="19">
        <v>73046</v>
      </c>
      <c r="J153" s="19">
        <v>0</v>
      </c>
      <c r="K153" s="19">
        <v>0</v>
      </c>
      <c r="L153" s="19">
        <v>0</v>
      </c>
      <c r="M153" s="19">
        <v>1523</v>
      </c>
      <c r="N153" s="19">
        <v>455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3091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1272.8292307692307</v>
      </c>
      <c r="AE153" s="19">
        <v>730.46</v>
      </c>
      <c r="AF153" s="19">
        <v>304.60000000000002</v>
      </c>
      <c r="AG153" s="19">
        <v>0</v>
      </c>
      <c r="AH153" s="19">
        <v>237.76923076923077</v>
      </c>
      <c r="AI153" s="19">
        <v>0</v>
      </c>
      <c r="AJ153" s="19">
        <v>0</v>
      </c>
      <c r="AK153" s="19">
        <v>2749</v>
      </c>
      <c r="AL153" s="19">
        <v>609</v>
      </c>
      <c r="AM153" s="19">
        <v>358</v>
      </c>
      <c r="AN153" s="19">
        <v>1501</v>
      </c>
      <c r="AO153" s="19">
        <v>281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24</v>
      </c>
      <c r="BI153" s="19">
        <v>0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>
        <v>0</v>
      </c>
      <c r="BW153" s="19">
        <v>0</v>
      </c>
      <c r="BX153" s="19">
        <v>0</v>
      </c>
      <c r="BY153" s="19">
        <v>0</v>
      </c>
      <c r="BZ153" s="19">
        <v>0</v>
      </c>
      <c r="CA153" s="19">
        <v>0</v>
      </c>
      <c r="CB153" s="19">
        <v>0</v>
      </c>
      <c r="CC153" s="19">
        <v>0</v>
      </c>
      <c r="CD153" s="19">
        <v>0</v>
      </c>
      <c r="CE153" s="19">
        <v>0</v>
      </c>
      <c r="CF153" s="19">
        <v>0</v>
      </c>
      <c r="CG153" s="19">
        <v>0</v>
      </c>
      <c r="CH153" s="19">
        <v>0</v>
      </c>
      <c r="CI153" s="19">
        <v>0</v>
      </c>
      <c r="CJ153" s="19">
        <v>0</v>
      </c>
      <c r="CK153" s="19">
        <v>0</v>
      </c>
      <c r="CL153" s="19">
        <v>0</v>
      </c>
      <c r="CM153" s="19">
        <v>0</v>
      </c>
      <c r="CN153" s="19">
        <v>0</v>
      </c>
      <c r="CO153" s="19">
        <v>0</v>
      </c>
      <c r="CP153" s="19">
        <v>0</v>
      </c>
      <c r="CQ153" s="19">
        <v>0</v>
      </c>
      <c r="CR153" s="19">
        <v>0</v>
      </c>
      <c r="CS153" s="19">
        <v>0</v>
      </c>
      <c r="CT153" s="19">
        <v>0</v>
      </c>
      <c r="CU153" s="19">
        <v>0</v>
      </c>
      <c r="CV153" s="19">
        <v>0</v>
      </c>
      <c r="CW153" s="19">
        <v>0</v>
      </c>
      <c r="CX153" s="19">
        <v>0</v>
      </c>
      <c r="CY153" s="19">
        <v>0</v>
      </c>
      <c r="CZ153" s="19">
        <v>0</v>
      </c>
      <c r="DA153" s="19">
        <v>0</v>
      </c>
      <c r="DB153" s="19">
        <v>0</v>
      </c>
      <c r="DC153" s="19">
        <v>0</v>
      </c>
      <c r="DD153" s="19">
        <v>0</v>
      </c>
      <c r="DE153" s="19">
        <v>0</v>
      </c>
      <c r="DF153" s="19">
        <v>0</v>
      </c>
      <c r="DG153" s="19">
        <v>0</v>
      </c>
      <c r="DH153" s="19">
        <v>0</v>
      </c>
      <c r="DI153" s="19">
        <v>0</v>
      </c>
      <c r="DJ153" s="21">
        <v>20245</v>
      </c>
      <c r="DK153" s="19">
        <v>717900</v>
      </c>
      <c r="DL153" s="19">
        <v>457574</v>
      </c>
      <c r="DM153" s="19">
        <v>0</v>
      </c>
      <c r="DN153" s="19">
        <v>170143</v>
      </c>
      <c r="DO153" s="19">
        <v>23560</v>
      </c>
      <c r="DP153" s="19">
        <v>0</v>
      </c>
      <c r="DQ153" s="19">
        <v>0</v>
      </c>
      <c r="DR153" s="19">
        <v>59042</v>
      </c>
      <c r="DS153" s="19">
        <v>7581</v>
      </c>
      <c r="DT153" s="22">
        <v>0.1</v>
      </c>
    </row>
    <row r="154" spans="1:124" x14ac:dyDescent="0.35">
      <c r="A154" s="19" t="s">
        <v>248</v>
      </c>
      <c r="B154" s="19" t="s">
        <v>280</v>
      </c>
      <c r="C154" s="19">
        <v>158578.91487271138</v>
      </c>
      <c r="D154" s="19">
        <v>25372.626379633821</v>
      </c>
      <c r="E154" s="20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>
        <v>0</v>
      </c>
      <c r="BM154" s="19">
        <v>0</v>
      </c>
      <c r="BN154" s="19">
        <v>0</v>
      </c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>
        <v>0</v>
      </c>
      <c r="BW154" s="19">
        <v>0</v>
      </c>
      <c r="BX154" s="19">
        <v>0</v>
      </c>
      <c r="BY154" s="19">
        <v>0</v>
      </c>
      <c r="BZ154" s="19">
        <v>0</v>
      </c>
      <c r="CA154" s="19">
        <v>0</v>
      </c>
      <c r="CB154" s="19">
        <v>0</v>
      </c>
      <c r="CC154" s="19">
        <v>0</v>
      </c>
      <c r="CD154" s="19">
        <v>0</v>
      </c>
      <c r="CE154" s="19">
        <v>0</v>
      </c>
      <c r="CF154" s="19">
        <v>0</v>
      </c>
      <c r="CG154" s="19">
        <v>0</v>
      </c>
      <c r="CH154" s="19">
        <v>0</v>
      </c>
      <c r="CI154" s="19">
        <v>0</v>
      </c>
      <c r="CJ154" s="19">
        <v>0</v>
      </c>
      <c r="CK154" s="19">
        <v>0</v>
      </c>
      <c r="CL154" s="19">
        <v>0</v>
      </c>
      <c r="CM154" s="19">
        <v>0</v>
      </c>
      <c r="CN154" s="19">
        <v>0</v>
      </c>
      <c r="CO154" s="19">
        <v>0</v>
      </c>
      <c r="CP154" s="19">
        <v>0</v>
      </c>
      <c r="CQ154" s="19">
        <v>0</v>
      </c>
      <c r="CR154" s="19">
        <v>0</v>
      </c>
      <c r="CS154" s="19">
        <v>0</v>
      </c>
      <c r="CT154" s="19">
        <v>0</v>
      </c>
      <c r="CU154" s="19">
        <v>0</v>
      </c>
      <c r="CV154" s="19">
        <v>0</v>
      </c>
      <c r="CW154" s="19">
        <v>0</v>
      </c>
      <c r="CX154" s="19">
        <v>0</v>
      </c>
      <c r="CY154" s="19">
        <v>0</v>
      </c>
      <c r="CZ154" s="19">
        <v>0</v>
      </c>
      <c r="DA154" s="19">
        <v>0</v>
      </c>
      <c r="DB154" s="19">
        <v>0</v>
      </c>
      <c r="DC154" s="19">
        <v>0</v>
      </c>
      <c r="DD154" s="19">
        <v>0</v>
      </c>
      <c r="DE154" s="19">
        <v>0</v>
      </c>
      <c r="DF154" s="19">
        <v>0</v>
      </c>
      <c r="DG154" s="19">
        <v>0</v>
      </c>
      <c r="DH154" s="19">
        <v>0</v>
      </c>
      <c r="DI154" s="19">
        <v>0</v>
      </c>
      <c r="DJ154" s="21">
        <v>20246</v>
      </c>
      <c r="DK154" s="19">
        <v>0</v>
      </c>
      <c r="DL154" s="19">
        <v>0</v>
      </c>
      <c r="DM154" s="19">
        <v>0</v>
      </c>
      <c r="DN154" s="19">
        <v>0</v>
      </c>
      <c r="DO154" s="19">
        <v>0</v>
      </c>
      <c r="DP154" s="19">
        <v>0</v>
      </c>
      <c r="DQ154" s="19">
        <v>0</v>
      </c>
      <c r="DR154" s="19">
        <v>0</v>
      </c>
      <c r="DS154" s="19">
        <v>0</v>
      </c>
      <c r="DT154" s="22">
        <v>0.1</v>
      </c>
    </row>
    <row r="155" spans="1:124" x14ac:dyDescent="0.35">
      <c r="A155" s="19" t="s">
        <v>248</v>
      </c>
      <c r="B155" s="19" t="s">
        <v>281</v>
      </c>
      <c r="C155" s="19">
        <v>314977.16880138253</v>
      </c>
      <c r="D155" s="19">
        <v>50396.347008221208</v>
      </c>
      <c r="E155" s="20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11</v>
      </c>
      <c r="BA155" s="19">
        <v>1</v>
      </c>
      <c r="BB155" s="19">
        <v>0</v>
      </c>
      <c r="BC155" s="19">
        <v>0</v>
      </c>
      <c r="BD155" s="19">
        <v>12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>
        <v>0</v>
      </c>
      <c r="BW155" s="19">
        <v>0</v>
      </c>
      <c r="BX155" s="19">
        <v>0</v>
      </c>
      <c r="BY155" s="19">
        <v>0</v>
      </c>
      <c r="BZ155" s="19">
        <v>0</v>
      </c>
      <c r="CA155" s="19">
        <v>0</v>
      </c>
      <c r="CB155" s="19">
        <v>0</v>
      </c>
      <c r="CC155" s="19">
        <v>0</v>
      </c>
      <c r="CD155" s="19">
        <v>0</v>
      </c>
      <c r="CE155" s="19">
        <v>0</v>
      </c>
      <c r="CF155" s="19">
        <v>0</v>
      </c>
      <c r="CG155" s="19">
        <v>0</v>
      </c>
      <c r="CH155" s="19">
        <v>0</v>
      </c>
      <c r="CI155" s="19">
        <v>0</v>
      </c>
      <c r="CJ155" s="19">
        <v>0</v>
      </c>
      <c r="CK155" s="19">
        <v>0</v>
      </c>
      <c r="CL155" s="19">
        <v>0</v>
      </c>
      <c r="CM155" s="19">
        <v>0</v>
      </c>
      <c r="CN155" s="19">
        <v>0</v>
      </c>
      <c r="CO155" s="19">
        <v>0</v>
      </c>
      <c r="CP155" s="19">
        <v>0</v>
      </c>
      <c r="CQ155" s="19">
        <v>0</v>
      </c>
      <c r="CR155" s="19">
        <v>0</v>
      </c>
      <c r="CS155" s="19">
        <v>0</v>
      </c>
      <c r="CT155" s="19">
        <v>0</v>
      </c>
      <c r="CU155" s="19">
        <v>0</v>
      </c>
      <c r="CV155" s="19">
        <v>0</v>
      </c>
      <c r="CW155" s="19">
        <v>0</v>
      </c>
      <c r="CX155" s="19">
        <v>0</v>
      </c>
      <c r="CY155" s="19">
        <v>0</v>
      </c>
      <c r="CZ155" s="19">
        <v>0</v>
      </c>
      <c r="DA155" s="19">
        <v>0</v>
      </c>
      <c r="DB155" s="19">
        <v>0</v>
      </c>
      <c r="DC155" s="19">
        <v>0</v>
      </c>
      <c r="DD155" s="19">
        <v>0</v>
      </c>
      <c r="DE155" s="19">
        <v>0</v>
      </c>
      <c r="DF155" s="19">
        <v>0</v>
      </c>
      <c r="DG155" s="19">
        <v>0</v>
      </c>
      <c r="DH155" s="19">
        <v>0</v>
      </c>
      <c r="DI155" s="19">
        <v>0</v>
      </c>
      <c r="DJ155" s="21">
        <v>20247</v>
      </c>
      <c r="DK155" s="19">
        <v>0</v>
      </c>
      <c r="DL155" s="19">
        <v>0</v>
      </c>
      <c r="DM155" s="19">
        <v>0</v>
      </c>
      <c r="DN155" s="19">
        <v>0</v>
      </c>
      <c r="DO155" s="19">
        <v>0</v>
      </c>
      <c r="DP155" s="19">
        <v>0</v>
      </c>
      <c r="DQ155" s="19">
        <v>0</v>
      </c>
      <c r="DR155" s="19">
        <v>0</v>
      </c>
      <c r="DS155" s="19">
        <v>0</v>
      </c>
      <c r="DT155" s="22">
        <v>0.1</v>
      </c>
    </row>
    <row r="156" spans="1:124" x14ac:dyDescent="0.35">
      <c r="A156" s="19" t="s">
        <v>248</v>
      </c>
      <c r="B156" s="19" t="s">
        <v>282</v>
      </c>
      <c r="C156" s="19">
        <v>326369.01922269666</v>
      </c>
      <c r="D156" s="19">
        <v>52219.043075631467</v>
      </c>
      <c r="E156" s="20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  <c r="CB156" s="19">
        <v>0</v>
      </c>
      <c r="CC156" s="19">
        <v>0</v>
      </c>
      <c r="CD156" s="19">
        <v>0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19">
        <v>0</v>
      </c>
      <c r="CL156" s="19">
        <v>0</v>
      </c>
      <c r="CM156" s="19">
        <v>0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0</v>
      </c>
      <c r="CT156" s="19">
        <v>0</v>
      </c>
      <c r="CU156" s="19">
        <v>0</v>
      </c>
      <c r="CV156" s="19">
        <v>0</v>
      </c>
      <c r="CW156" s="19">
        <v>0</v>
      </c>
      <c r="CX156" s="19">
        <v>0</v>
      </c>
      <c r="CY156" s="19">
        <v>0</v>
      </c>
      <c r="CZ156" s="19">
        <v>0</v>
      </c>
      <c r="DA156" s="19">
        <v>0</v>
      </c>
      <c r="DB156" s="19">
        <v>0</v>
      </c>
      <c r="DC156" s="19">
        <v>0</v>
      </c>
      <c r="DD156" s="19">
        <v>0</v>
      </c>
      <c r="DE156" s="19">
        <v>0</v>
      </c>
      <c r="DF156" s="19">
        <v>0</v>
      </c>
      <c r="DG156" s="19">
        <v>0</v>
      </c>
      <c r="DH156" s="19">
        <v>0</v>
      </c>
      <c r="DI156" s="19">
        <v>0</v>
      </c>
      <c r="DJ156" s="21">
        <v>20248</v>
      </c>
      <c r="DK156" s="19">
        <v>0</v>
      </c>
      <c r="DL156" s="19">
        <v>0</v>
      </c>
      <c r="DM156" s="19">
        <v>0</v>
      </c>
      <c r="DN156" s="19">
        <v>0</v>
      </c>
      <c r="DO156" s="19">
        <v>0</v>
      </c>
      <c r="DP156" s="19">
        <v>0</v>
      </c>
      <c r="DQ156" s="19">
        <v>0</v>
      </c>
      <c r="DR156" s="19">
        <v>0</v>
      </c>
      <c r="DS156" s="19">
        <v>0</v>
      </c>
      <c r="DT156" s="22">
        <v>0.12</v>
      </c>
    </row>
    <row r="157" spans="1:124" x14ac:dyDescent="0.35">
      <c r="A157" s="19" t="s">
        <v>248</v>
      </c>
      <c r="B157" s="19" t="s">
        <v>283</v>
      </c>
      <c r="C157" s="19">
        <v>383602.20203143649</v>
      </c>
      <c r="D157" s="19">
        <v>61376.352325029839</v>
      </c>
      <c r="E157" s="20">
        <v>95411</v>
      </c>
      <c r="F157" s="19">
        <v>0</v>
      </c>
      <c r="G157" s="19">
        <v>0</v>
      </c>
      <c r="H157" s="19">
        <v>0</v>
      </c>
      <c r="I157" s="19">
        <v>91205</v>
      </c>
      <c r="J157" s="19">
        <v>0</v>
      </c>
      <c r="K157" s="19">
        <v>0</v>
      </c>
      <c r="L157" s="19">
        <v>0</v>
      </c>
      <c r="M157" s="19">
        <v>1601</v>
      </c>
      <c r="N157" s="19">
        <v>3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2597</v>
      </c>
      <c r="V157" s="19">
        <v>0</v>
      </c>
      <c r="W157" s="19">
        <v>0</v>
      </c>
      <c r="X157" s="19">
        <v>0</v>
      </c>
      <c r="Y157" s="19">
        <v>0</v>
      </c>
      <c r="Z157" s="19">
        <v>5</v>
      </c>
      <c r="AA157" s="19">
        <v>0</v>
      </c>
      <c r="AB157" s="19">
        <v>0</v>
      </c>
      <c r="AC157" s="19">
        <v>0</v>
      </c>
      <c r="AD157" s="19">
        <v>1449.0192307692307</v>
      </c>
      <c r="AE157" s="19">
        <v>912.05</v>
      </c>
      <c r="AF157" s="19">
        <v>320.2</v>
      </c>
      <c r="AG157" s="19">
        <v>17</v>
      </c>
      <c r="AH157" s="19">
        <v>199.76923076923077</v>
      </c>
      <c r="AI157" s="19">
        <v>0</v>
      </c>
      <c r="AJ157" s="19">
        <v>0</v>
      </c>
      <c r="AK157" s="19">
        <v>1330</v>
      </c>
      <c r="AL157" s="19">
        <v>759</v>
      </c>
      <c r="AM157" s="19">
        <v>398</v>
      </c>
      <c r="AN157" s="19">
        <v>10</v>
      </c>
      <c r="AO157" s="19">
        <v>163</v>
      </c>
      <c r="AP157" s="19">
        <v>0</v>
      </c>
      <c r="AQ157" s="19">
        <v>0</v>
      </c>
      <c r="AR157" s="19">
        <v>265</v>
      </c>
      <c r="AS157" s="19">
        <v>17</v>
      </c>
      <c r="AT157" s="19">
        <v>0</v>
      </c>
      <c r="AU157" s="19">
        <v>0</v>
      </c>
      <c r="AV157" s="19">
        <v>0</v>
      </c>
      <c r="AW157" s="19">
        <v>21</v>
      </c>
      <c r="AX157" s="19">
        <v>0</v>
      </c>
      <c r="AY157" s="19">
        <v>0</v>
      </c>
      <c r="AZ157" s="19">
        <v>0</v>
      </c>
      <c r="BA157" s="19">
        <v>3</v>
      </c>
      <c r="BB157" s="19">
        <v>0</v>
      </c>
      <c r="BC157" s="19">
        <v>0</v>
      </c>
      <c r="BD157" s="19">
        <v>3</v>
      </c>
      <c r="BE157" s="19">
        <v>0</v>
      </c>
      <c r="BF157" s="19">
        <v>0</v>
      </c>
      <c r="BG157" s="19">
        <v>0</v>
      </c>
      <c r="BH157" s="19">
        <v>64</v>
      </c>
      <c r="BI157" s="19">
        <v>3</v>
      </c>
      <c r="BJ157" s="19">
        <v>0</v>
      </c>
      <c r="BK157" s="19">
        <v>0</v>
      </c>
      <c r="BL157" s="19">
        <v>0</v>
      </c>
      <c r="BM157" s="19">
        <v>0</v>
      </c>
      <c r="BN157" s="19">
        <v>0</v>
      </c>
      <c r="BO157" s="19">
        <v>0</v>
      </c>
      <c r="BP157" s="19">
        <v>1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>
        <v>0</v>
      </c>
      <c r="BW157" s="19">
        <v>0</v>
      </c>
      <c r="BX157" s="19">
        <v>0</v>
      </c>
      <c r="BY157" s="19">
        <v>0</v>
      </c>
      <c r="BZ157" s="19">
        <v>0</v>
      </c>
      <c r="CA157" s="19">
        <v>0</v>
      </c>
      <c r="CB157" s="19">
        <v>0</v>
      </c>
      <c r="CC157" s="19">
        <v>0</v>
      </c>
      <c r="CD157" s="19">
        <v>0</v>
      </c>
      <c r="CE157" s="19">
        <v>0</v>
      </c>
      <c r="CF157" s="19">
        <v>0</v>
      </c>
      <c r="CG157" s="19">
        <v>0</v>
      </c>
      <c r="CH157" s="19">
        <v>0</v>
      </c>
      <c r="CI157" s="19">
        <v>0</v>
      </c>
      <c r="CJ157" s="19">
        <v>0</v>
      </c>
      <c r="CK157" s="19">
        <v>0</v>
      </c>
      <c r="CL157" s="19">
        <v>0</v>
      </c>
      <c r="CM157" s="19">
        <v>0</v>
      </c>
      <c r="CN157" s="19">
        <v>0</v>
      </c>
      <c r="CO157" s="19">
        <v>0</v>
      </c>
      <c r="CP157" s="19">
        <v>0</v>
      </c>
      <c r="CQ157" s="19">
        <v>0</v>
      </c>
      <c r="CR157" s="19">
        <v>0</v>
      </c>
      <c r="CS157" s="19">
        <v>0</v>
      </c>
      <c r="CT157" s="19">
        <v>0</v>
      </c>
      <c r="CU157" s="19">
        <v>1</v>
      </c>
      <c r="CV157" s="19">
        <v>0</v>
      </c>
      <c r="CW157" s="19">
        <v>0</v>
      </c>
      <c r="CX157" s="19">
        <v>0</v>
      </c>
      <c r="CY157" s="19">
        <v>0</v>
      </c>
      <c r="CZ157" s="19">
        <v>0</v>
      </c>
      <c r="DA157" s="19">
        <v>0</v>
      </c>
      <c r="DB157" s="19">
        <v>0</v>
      </c>
      <c r="DC157" s="19">
        <v>0</v>
      </c>
      <c r="DD157" s="19">
        <v>0</v>
      </c>
      <c r="DE157" s="19">
        <v>0</v>
      </c>
      <c r="DF157" s="19">
        <v>0</v>
      </c>
      <c r="DG157" s="19">
        <v>0</v>
      </c>
      <c r="DH157" s="19">
        <v>0</v>
      </c>
      <c r="DI157" s="19">
        <v>0</v>
      </c>
      <c r="DJ157" s="21">
        <v>20210</v>
      </c>
      <c r="DK157" s="19">
        <v>1099142</v>
      </c>
      <c r="DL157" s="19">
        <v>846043</v>
      </c>
      <c r="DM157" s="19">
        <v>0</v>
      </c>
      <c r="DN157" s="19">
        <v>188103</v>
      </c>
      <c r="DO157" s="19">
        <v>500</v>
      </c>
      <c r="DP157" s="19">
        <v>616</v>
      </c>
      <c r="DQ157" s="19">
        <v>0</v>
      </c>
      <c r="DR157" s="19">
        <v>63880</v>
      </c>
      <c r="DS157" s="19">
        <v>0</v>
      </c>
      <c r="DT157" s="22">
        <v>0.12</v>
      </c>
    </row>
    <row r="158" spans="1:124" x14ac:dyDescent="0.35">
      <c r="A158" s="19" t="s">
        <v>248</v>
      </c>
      <c r="B158" s="19" t="s">
        <v>284</v>
      </c>
      <c r="C158" s="19">
        <v>204407.30565216063</v>
      </c>
      <c r="D158" s="19">
        <v>32705.168904345701</v>
      </c>
      <c r="E158" s="20">
        <v>9489</v>
      </c>
      <c r="F158" s="19">
        <v>0</v>
      </c>
      <c r="G158" s="19">
        <v>0</v>
      </c>
      <c r="H158" s="19">
        <v>0</v>
      </c>
      <c r="I158" s="19">
        <v>5654</v>
      </c>
      <c r="J158" s="19">
        <v>0</v>
      </c>
      <c r="K158" s="19">
        <v>0</v>
      </c>
      <c r="L158" s="19">
        <v>0</v>
      </c>
      <c r="M158" s="19">
        <v>349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3486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394.49384615384611</v>
      </c>
      <c r="AE158" s="19">
        <v>56.54</v>
      </c>
      <c r="AF158" s="19">
        <v>69.8</v>
      </c>
      <c r="AG158" s="19">
        <v>0</v>
      </c>
      <c r="AH158" s="19">
        <v>268.15384615384613</v>
      </c>
      <c r="AI158" s="19">
        <v>0</v>
      </c>
      <c r="AJ158" s="19">
        <v>0</v>
      </c>
      <c r="AK158" s="19">
        <v>350</v>
      </c>
      <c r="AL158" s="19">
        <v>48</v>
      </c>
      <c r="AM158" s="19">
        <v>75</v>
      </c>
      <c r="AN158" s="19">
        <v>0</v>
      </c>
      <c r="AO158" s="19">
        <v>227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31</v>
      </c>
      <c r="BI158" s="19">
        <v>0</v>
      </c>
      <c r="BJ158" s="19">
        <v>0</v>
      </c>
      <c r="BK158" s="19">
        <v>0</v>
      </c>
      <c r="BL158" s="19">
        <v>0</v>
      </c>
      <c r="BM158" s="19">
        <v>0</v>
      </c>
      <c r="BN158" s="19">
        <v>0</v>
      </c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>
        <v>0</v>
      </c>
      <c r="BW158" s="19">
        <v>0</v>
      </c>
      <c r="BX158" s="19">
        <v>0</v>
      </c>
      <c r="BY158" s="19">
        <v>0</v>
      </c>
      <c r="BZ158" s="19">
        <v>0</v>
      </c>
      <c r="CA158" s="19">
        <v>0</v>
      </c>
      <c r="CB158" s="19">
        <v>0</v>
      </c>
      <c r="CC158" s="19">
        <v>0</v>
      </c>
      <c r="CD158" s="19">
        <v>0</v>
      </c>
      <c r="CE158" s="19">
        <v>0</v>
      </c>
      <c r="CF158" s="19">
        <v>0</v>
      </c>
      <c r="CG158" s="19">
        <v>0</v>
      </c>
      <c r="CH158" s="19">
        <v>0</v>
      </c>
      <c r="CI158" s="19">
        <v>0</v>
      </c>
      <c r="CJ158" s="19">
        <v>0</v>
      </c>
      <c r="CK158" s="19">
        <v>0</v>
      </c>
      <c r="CL158" s="19">
        <v>0</v>
      </c>
      <c r="CM158" s="19">
        <v>0</v>
      </c>
      <c r="CN158" s="19">
        <v>0</v>
      </c>
      <c r="CO158" s="19">
        <v>0</v>
      </c>
      <c r="CP158" s="19">
        <v>0</v>
      </c>
      <c r="CQ158" s="19">
        <v>0</v>
      </c>
      <c r="CR158" s="19">
        <v>0</v>
      </c>
      <c r="CS158" s="19">
        <v>0</v>
      </c>
      <c r="CT158" s="19">
        <v>0</v>
      </c>
      <c r="CU158" s="19">
        <v>1</v>
      </c>
      <c r="CV158" s="19">
        <v>0</v>
      </c>
      <c r="CW158" s="19">
        <v>0</v>
      </c>
      <c r="CX158" s="19">
        <v>0</v>
      </c>
      <c r="CY158" s="19">
        <v>0</v>
      </c>
      <c r="CZ158" s="19">
        <v>0</v>
      </c>
      <c r="DA158" s="19">
        <v>0</v>
      </c>
      <c r="DB158" s="19">
        <v>0</v>
      </c>
      <c r="DC158" s="19">
        <v>0</v>
      </c>
      <c r="DD158" s="19">
        <v>0</v>
      </c>
      <c r="DE158" s="19">
        <v>0</v>
      </c>
      <c r="DF158" s="19">
        <v>0</v>
      </c>
      <c r="DG158" s="19">
        <v>0</v>
      </c>
      <c r="DH158" s="19">
        <v>0</v>
      </c>
      <c r="DI158" s="19">
        <v>0</v>
      </c>
      <c r="DJ158" s="21">
        <v>20215</v>
      </c>
      <c r="DK158" s="19">
        <v>202430</v>
      </c>
      <c r="DL158" s="19">
        <v>88199</v>
      </c>
      <c r="DM158" s="19">
        <v>0</v>
      </c>
      <c r="DN158" s="19">
        <v>36898</v>
      </c>
      <c r="DO158" s="19">
        <v>0</v>
      </c>
      <c r="DP158" s="19">
        <v>0</v>
      </c>
      <c r="DQ158" s="19">
        <v>0</v>
      </c>
      <c r="DR158" s="19">
        <v>77333</v>
      </c>
      <c r="DS158" s="19">
        <v>0</v>
      </c>
      <c r="DT158" s="22">
        <v>0.11</v>
      </c>
    </row>
    <row r="159" spans="1:124" x14ac:dyDescent="0.35">
      <c r="A159" s="19" t="s">
        <v>285</v>
      </c>
      <c r="B159" s="19" t="s">
        <v>286</v>
      </c>
      <c r="C159" s="19">
        <v>120327.83556350287</v>
      </c>
      <c r="D159" s="19">
        <v>19252.453690160459</v>
      </c>
      <c r="E159" s="20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>
        <v>0</v>
      </c>
      <c r="BW159" s="19">
        <v>0</v>
      </c>
      <c r="BX159" s="19">
        <v>0</v>
      </c>
      <c r="BY159" s="19">
        <v>0</v>
      </c>
      <c r="BZ159" s="19">
        <v>0</v>
      </c>
      <c r="CA159" s="19">
        <v>0</v>
      </c>
      <c r="CB159" s="19">
        <v>0</v>
      </c>
      <c r="CC159" s="19">
        <v>0</v>
      </c>
      <c r="CD159" s="19">
        <v>0</v>
      </c>
      <c r="CE159" s="19">
        <v>0</v>
      </c>
      <c r="CF159" s="19">
        <v>0</v>
      </c>
      <c r="CG159" s="19">
        <v>0</v>
      </c>
      <c r="CH159" s="19">
        <v>0</v>
      </c>
      <c r="CI159" s="19">
        <v>0</v>
      </c>
      <c r="CJ159" s="19">
        <v>0</v>
      </c>
      <c r="CK159" s="19">
        <v>0</v>
      </c>
      <c r="CL159" s="19">
        <v>0</v>
      </c>
      <c r="CM159" s="19">
        <v>0</v>
      </c>
      <c r="CN159" s="19">
        <v>0</v>
      </c>
      <c r="CO159" s="19">
        <v>0</v>
      </c>
      <c r="CP159" s="19">
        <v>0</v>
      </c>
      <c r="CQ159" s="19">
        <v>0</v>
      </c>
      <c r="CR159" s="19">
        <v>0</v>
      </c>
      <c r="CS159" s="19">
        <v>0</v>
      </c>
      <c r="CT159" s="19">
        <v>0</v>
      </c>
      <c r="CU159" s="19">
        <v>0</v>
      </c>
      <c r="CV159" s="19">
        <v>0</v>
      </c>
      <c r="CW159" s="19">
        <v>0</v>
      </c>
      <c r="CX159" s="19">
        <v>0</v>
      </c>
      <c r="CY159" s="19">
        <v>0</v>
      </c>
      <c r="CZ159" s="19">
        <v>0</v>
      </c>
      <c r="DA159" s="19">
        <v>0</v>
      </c>
      <c r="DB159" s="19">
        <v>0</v>
      </c>
      <c r="DC159" s="19">
        <v>0</v>
      </c>
      <c r="DD159" s="19">
        <v>0</v>
      </c>
      <c r="DE159" s="19">
        <v>0</v>
      </c>
      <c r="DF159" s="19">
        <v>0</v>
      </c>
      <c r="DG159" s="19">
        <v>0</v>
      </c>
      <c r="DH159" s="19">
        <v>0</v>
      </c>
      <c r="DI159" s="19">
        <v>0</v>
      </c>
      <c r="DJ159" s="21">
        <v>70806</v>
      </c>
      <c r="DK159" s="19">
        <v>0</v>
      </c>
      <c r="DL159" s="19">
        <v>0</v>
      </c>
      <c r="DM159" s="19">
        <v>0</v>
      </c>
      <c r="DN159" s="19">
        <v>0</v>
      </c>
      <c r="DO159" s="19">
        <v>0</v>
      </c>
      <c r="DP159" s="19">
        <v>0</v>
      </c>
      <c r="DQ159" s="19">
        <v>0</v>
      </c>
      <c r="DR159" s="19">
        <v>0</v>
      </c>
      <c r="DS159" s="19">
        <v>0</v>
      </c>
      <c r="DT159" s="22">
        <v>0.27</v>
      </c>
    </row>
    <row r="160" spans="1:124" x14ac:dyDescent="0.35">
      <c r="A160" s="19" t="s">
        <v>285</v>
      </c>
      <c r="B160" s="19" t="s">
        <v>287</v>
      </c>
      <c r="C160" s="19">
        <v>363798.30642539734</v>
      </c>
      <c r="D160" s="19">
        <v>58207.729028063572</v>
      </c>
      <c r="E160" s="20">
        <v>65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65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267</v>
      </c>
      <c r="AL160" s="19">
        <v>0</v>
      </c>
      <c r="AM160" s="19">
        <v>0</v>
      </c>
      <c r="AN160" s="19">
        <v>267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>
        <v>0</v>
      </c>
      <c r="BM160" s="19">
        <v>0</v>
      </c>
      <c r="BN160" s="19">
        <v>0</v>
      </c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>
        <v>0</v>
      </c>
      <c r="BW160" s="19">
        <v>1</v>
      </c>
      <c r="BX160" s="19">
        <v>0</v>
      </c>
      <c r="BY160" s="19">
        <v>0</v>
      </c>
      <c r="BZ160" s="19">
        <v>0</v>
      </c>
      <c r="CA160" s="19">
        <v>0</v>
      </c>
      <c r="CB160" s="19">
        <v>0</v>
      </c>
      <c r="CC160" s="19">
        <v>0</v>
      </c>
      <c r="CD160" s="19">
        <v>0</v>
      </c>
      <c r="CE160" s="19">
        <v>0</v>
      </c>
      <c r="CF160" s="19">
        <v>0</v>
      </c>
      <c r="CG160" s="19">
        <v>0</v>
      </c>
      <c r="CH160" s="19">
        <v>0</v>
      </c>
      <c r="CI160" s="19">
        <v>0</v>
      </c>
      <c r="CJ160" s="19">
        <v>0</v>
      </c>
      <c r="CK160" s="19">
        <v>0</v>
      </c>
      <c r="CL160" s="19">
        <v>0</v>
      </c>
      <c r="CM160" s="19">
        <v>0</v>
      </c>
      <c r="CN160" s="19">
        <v>0</v>
      </c>
      <c r="CO160" s="19">
        <v>0</v>
      </c>
      <c r="CP160" s="19">
        <v>0</v>
      </c>
      <c r="CQ160" s="19">
        <v>0</v>
      </c>
      <c r="CR160" s="19">
        <v>0</v>
      </c>
      <c r="CS160" s="19">
        <v>0</v>
      </c>
      <c r="CT160" s="19">
        <v>0</v>
      </c>
      <c r="CU160" s="19">
        <v>0</v>
      </c>
      <c r="CV160" s="19">
        <v>0</v>
      </c>
      <c r="CW160" s="19">
        <v>0</v>
      </c>
      <c r="CX160" s="19">
        <v>0</v>
      </c>
      <c r="CY160" s="19">
        <v>0</v>
      </c>
      <c r="CZ160" s="19">
        <v>0</v>
      </c>
      <c r="DA160" s="19">
        <v>0</v>
      </c>
      <c r="DB160" s="19">
        <v>0</v>
      </c>
      <c r="DC160" s="19">
        <v>0</v>
      </c>
      <c r="DD160" s="19">
        <v>0</v>
      </c>
      <c r="DE160" s="19">
        <v>0</v>
      </c>
      <c r="DF160" s="19">
        <v>0</v>
      </c>
      <c r="DG160" s="19">
        <v>0</v>
      </c>
      <c r="DH160" s="19">
        <v>0</v>
      </c>
      <c r="DI160" s="19">
        <v>0</v>
      </c>
      <c r="DJ160" s="21">
        <v>70807</v>
      </c>
      <c r="DK160" s="19">
        <v>6500</v>
      </c>
      <c r="DL160" s="19">
        <v>0</v>
      </c>
      <c r="DM160" s="19">
        <v>0</v>
      </c>
      <c r="DN160" s="19">
        <v>0</v>
      </c>
      <c r="DO160" s="19">
        <v>6500</v>
      </c>
      <c r="DP160" s="19">
        <v>0</v>
      </c>
      <c r="DQ160" s="19">
        <v>0</v>
      </c>
      <c r="DR160" s="19">
        <v>0</v>
      </c>
      <c r="DS160" s="19">
        <v>0</v>
      </c>
      <c r="DT160" s="22">
        <v>0.1</v>
      </c>
    </row>
    <row r="161" spans="1:124" x14ac:dyDescent="0.35">
      <c r="A161" s="19" t="s">
        <v>285</v>
      </c>
      <c r="B161" s="19" t="s">
        <v>288</v>
      </c>
      <c r="C161" s="19">
        <v>170205.87117226527</v>
      </c>
      <c r="D161" s="19">
        <v>27232.939387562441</v>
      </c>
      <c r="E161" s="20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0</v>
      </c>
      <c r="BN161" s="19">
        <v>0</v>
      </c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>
        <v>0</v>
      </c>
      <c r="BW161" s="19">
        <v>0</v>
      </c>
      <c r="BX161" s="19">
        <v>0</v>
      </c>
      <c r="BY161" s="19">
        <v>0</v>
      </c>
      <c r="BZ161" s="19">
        <v>0</v>
      </c>
      <c r="CA161" s="19">
        <v>0</v>
      </c>
      <c r="CB161" s="19">
        <v>0</v>
      </c>
      <c r="CC161" s="19">
        <v>0</v>
      </c>
      <c r="CD161" s="19">
        <v>0</v>
      </c>
      <c r="CE161" s="19">
        <v>0</v>
      </c>
      <c r="CF161" s="19">
        <v>0</v>
      </c>
      <c r="CG161" s="19">
        <v>0</v>
      </c>
      <c r="CH161" s="19">
        <v>0</v>
      </c>
      <c r="CI161" s="19">
        <v>0</v>
      </c>
      <c r="CJ161" s="19">
        <v>0</v>
      </c>
      <c r="CK161" s="19">
        <v>0</v>
      </c>
      <c r="CL161" s="19">
        <v>0</v>
      </c>
      <c r="CM161" s="19">
        <v>0</v>
      </c>
      <c r="CN161" s="19">
        <v>0</v>
      </c>
      <c r="CO161" s="19">
        <v>0</v>
      </c>
      <c r="CP161" s="19">
        <v>0</v>
      </c>
      <c r="CQ161" s="19">
        <v>0</v>
      </c>
      <c r="CR161" s="19">
        <v>0</v>
      </c>
      <c r="CS161" s="19">
        <v>0</v>
      </c>
      <c r="CT161" s="19">
        <v>0</v>
      </c>
      <c r="CU161" s="19">
        <v>0</v>
      </c>
      <c r="CV161" s="19">
        <v>0</v>
      </c>
      <c r="CW161" s="19">
        <v>0</v>
      </c>
      <c r="CX161" s="19">
        <v>0</v>
      </c>
      <c r="CY161" s="19">
        <v>0</v>
      </c>
      <c r="CZ161" s="19">
        <v>0</v>
      </c>
      <c r="DA161" s="19">
        <v>0</v>
      </c>
      <c r="DB161" s="19">
        <v>0</v>
      </c>
      <c r="DC161" s="19">
        <v>0</v>
      </c>
      <c r="DD161" s="19">
        <v>0</v>
      </c>
      <c r="DE161" s="19">
        <v>0</v>
      </c>
      <c r="DF161" s="19">
        <v>0</v>
      </c>
      <c r="DG161" s="19">
        <v>0</v>
      </c>
      <c r="DH161" s="19">
        <v>0</v>
      </c>
      <c r="DI161" s="19">
        <v>0</v>
      </c>
      <c r="DJ161" s="21">
        <v>70808</v>
      </c>
      <c r="DK161" s="19">
        <v>0</v>
      </c>
      <c r="DL161" s="19">
        <v>0</v>
      </c>
      <c r="DM161" s="19">
        <v>0</v>
      </c>
      <c r="DN161" s="19">
        <v>0</v>
      </c>
      <c r="DO161" s="19">
        <v>0</v>
      </c>
      <c r="DP161" s="19">
        <v>0</v>
      </c>
      <c r="DQ161" s="19">
        <v>0</v>
      </c>
      <c r="DR161" s="19">
        <v>0</v>
      </c>
      <c r="DS161" s="19">
        <v>0</v>
      </c>
      <c r="DT161" s="22">
        <v>0.32</v>
      </c>
    </row>
    <row r="162" spans="1:124" x14ac:dyDescent="0.35">
      <c r="A162" s="19" t="s">
        <v>285</v>
      </c>
      <c r="B162" s="19" t="s">
        <v>289</v>
      </c>
      <c r="C162" s="19">
        <v>215767.88052086486</v>
      </c>
      <c r="D162" s="19">
        <v>34522.860883338377</v>
      </c>
      <c r="E162" s="20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0</v>
      </c>
      <c r="BM162" s="19">
        <v>0</v>
      </c>
      <c r="BN162" s="19">
        <v>0</v>
      </c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>
        <v>0</v>
      </c>
      <c r="BW162" s="19">
        <v>0</v>
      </c>
      <c r="BX162" s="19">
        <v>0</v>
      </c>
      <c r="BY162" s="19">
        <v>0</v>
      </c>
      <c r="BZ162" s="19">
        <v>0</v>
      </c>
      <c r="CA162" s="19">
        <v>0</v>
      </c>
      <c r="CB162" s="19">
        <v>0</v>
      </c>
      <c r="CC162" s="19">
        <v>0</v>
      </c>
      <c r="CD162" s="19">
        <v>0</v>
      </c>
      <c r="CE162" s="19">
        <v>0</v>
      </c>
      <c r="CF162" s="19">
        <v>0</v>
      </c>
      <c r="CG162" s="19">
        <v>0</v>
      </c>
      <c r="CH162" s="19">
        <v>0</v>
      </c>
      <c r="CI162" s="19">
        <v>0</v>
      </c>
      <c r="CJ162" s="19">
        <v>0</v>
      </c>
      <c r="CK162" s="19">
        <v>0</v>
      </c>
      <c r="CL162" s="19">
        <v>0</v>
      </c>
      <c r="CM162" s="19">
        <v>0</v>
      </c>
      <c r="CN162" s="19">
        <v>0</v>
      </c>
      <c r="CO162" s="19">
        <v>0</v>
      </c>
      <c r="CP162" s="19">
        <v>0</v>
      </c>
      <c r="CQ162" s="19">
        <v>0</v>
      </c>
      <c r="CR162" s="19">
        <v>0</v>
      </c>
      <c r="CS162" s="19">
        <v>0</v>
      </c>
      <c r="CT162" s="19">
        <v>0</v>
      </c>
      <c r="CU162" s="19">
        <v>0</v>
      </c>
      <c r="CV162" s="19">
        <v>0</v>
      </c>
      <c r="CW162" s="19">
        <v>0</v>
      </c>
      <c r="CX162" s="19">
        <v>0</v>
      </c>
      <c r="CY162" s="19">
        <v>0</v>
      </c>
      <c r="CZ162" s="19">
        <v>0</v>
      </c>
      <c r="DA162" s="19">
        <v>0</v>
      </c>
      <c r="DB162" s="19">
        <v>0</v>
      </c>
      <c r="DC162" s="19">
        <v>0</v>
      </c>
      <c r="DD162" s="19">
        <v>0</v>
      </c>
      <c r="DE162" s="19">
        <v>0</v>
      </c>
      <c r="DF162" s="19">
        <v>0</v>
      </c>
      <c r="DG162" s="19">
        <v>0</v>
      </c>
      <c r="DH162" s="19">
        <v>0</v>
      </c>
      <c r="DI162" s="19">
        <v>0</v>
      </c>
      <c r="DJ162" s="21">
        <v>70809</v>
      </c>
      <c r="DK162" s="19">
        <v>0</v>
      </c>
      <c r="DL162" s="19">
        <v>0</v>
      </c>
      <c r="DM162" s="19">
        <v>0</v>
      </c>
      <c r="DN162" s="19">
        <v>0</v>
      </c>
      <c r="DO162" s="19">
        <v>0</v>
      </c>
      <c r="DP162" s="19">
        <v>0</v>
      </c>
      <c r="DQ162" s="19">
        <v>0</v>
      </c>
      <c r="DR162" s="19">
        <v>0</v>
      </c>
      <c r="DS162" s="19">
        <v>0</v>
      </c>
      <c r="DT162" s="22">
        <v>0.39</v>
      </c>
    </row>
    <row r="163" spans="1:124" x14ac:dyDescent="0.35">
      <c r="A163" s="19" t="s">
        <v>285</v>
      </c>
      <c r="B163" s="19" t="s">
        <v>290</v>
      </c>
      <c r="C163" s="19">
        <v>350018.729332419</v>
      </c>
      <c r="D163" s="19">
        <v>56002.996693187037</v>
      </c>
      <c r="E163" s="20">
        <v>573577</v>
      </c>
      <c r="F163" s="19">
        <v>71</v>
      </c>
      <c r="G163" s="19">
        <v>0</v>
      </c>
      <c r="H163" s="19">
        <v>0</v>
      </c>
      <c r="I163" s="19">
        <v>542680</v>
      </c>
      <c r="J163" s="19">
        <v>18</v>
      </c>
      <c r="K163" s="19">
        <v>202</v>
      </c>
      <c r="L163" s="19">
        <v>0</v>
      </c>
      <c r="M163" s="19">
        <v>7619</v>
      </c>
      <c r="N163" s="19">
        <v>1455</v>
      </c>
      <c r="O163" s="19">
        <v>0</v>
      </c>
      <c r="P163" s="19">
        <v>69</v>
      </c>
      <c r="Q163" s="19">
        <v>0</v>
      </c>
      <c r="R163" s="19">
        <v>0</v>
      </c>
      <c r="S163" s="19">
        <v>21</v>
      </c>
      <c r="T163" s="19">
        <v>0</v>
      </c>
      <c r="U163" s="19">
        <v>20442</v>
      </c>
      <c r="V163" s="19">
        <v>41</v>
      </c>
      <c r="W163" s="19">
        <v>0</v>
      </c>
      <c r="X163" s="19">
        <v>0</v>
      </c>
      <c r="Y163" s="19">
        <v>559</v>
      </c>
      <c r="Z163" s="19">
        <v>400</v>
      </c>
      <c r="AA163" s="19">
        <v>0</v>
      </c>
      <c r="AB163" s="19">
        <v>0</v>
      </c>
      <c r="AC163" s="19">
        <v>0</v>
      </c>
      <c r="AD163" s="19">
        <v>8523.0615384615394</v>
      </c>
      <c r="AE163" s="19">
        <v>5426.8</v>
      </c>
      <c r="AF163" s="19">
        <v>1523.8</v>
      </c>
      <c r="AG163" s="19">
        <v>0</v>
      </c>
      <c r="AH163" s="19">
        <v>1572.4615384615386</v>
      </c>
      <c r="AI163" s="19">
        <v>0</v>
      </c>
      <c r="AJ163" s="19">
        <v>0</v>
      </c>
      <c r="AK163" s="19">
        <v>13122</v>
      </c>
      <c r="AL163" s="19">
        <v>4522</v>
      </c>
      <c r="AM163" s="19">
        <v>1877</v>
      </c>
      <c r="AN163" s="19">
        <v>5342</v>
      </c>
      <c r="AO163" s="19">
        <v>1381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14</v>
      </c>
      <c r="BA163" s="19">
        <v>4</v>
      </c>
      <c r="BB163" s="19">
        <v>0</v>
      </c>
      <c r="BC163" s="19">
        <v>1</v>
      </c>
      <c r="BD163" s="19">
        <v>19</v>
      </c>
      <c r="BE163" s="19">
        <v>0</v>
      </c>
      <c r="BF163" s="19">
        <v>0</v>
      </c>
      <c r="BG163" s="19">
        <v>0</v>
      </c>
      <c r="BH163" s="19">
        <v>4</v>
      </c>
      <c r="BI163" s="19">
        <v>4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>
        <v>0</v>
      </c>
      <c r="BW163" s="19">
        <v>1</v>
      </c>
      <c r="BX163" s="19">
        <v>0</v>
      </c>
      <c r="BY163" s="19">
        <v>0</v>
      </c>
      <c r="BZ163" s="19">
        <v>0</v>
      </c>
      <c r="CA163" s="19">
        <v>0</v>
      </c>
      <c r="CB163" s="19">
        <v>0</v>
      </c>
      <c r="CC163" s="19">
        <v>0</v>
      </c>
      <c r="CD163" s="19">
        <v>0</v>
      </c>
      <c r="CE163" s="19">
        <v>0</v>
      </c>
      <c r="CF163" s="19">
        <v>0</v>
      </c>
      <c r="CG163" s="19">
        <v>0</v>
      </c>
      <c r="CH163" s="19">
        <v>0</v>
      </c>
      <c r="CI163" s="19">
        <v>0</v>
      </c>
      <c r="CJ163" s="19">
        <v>0</v>
      </c>
      <c r="CK163" s="19">
        <v>0</v>
      </c>
      <c r="CL163" s="19">
        <v>0</v>
      </c>
      <c r="CM163" s="19">
        <v>0</v>
      </c>
      <c r="CN163" s="19">
        <v>0</v>
      </c>
      <c r="CO163" s="19">
        <v>0</v>
      </c>
      <c r="CP163" s="19">
        <v>0</v>
      </c>
      <c r="CQ163" s="19">
        <v>0</v>
      </c>
      <c r="CR163" s="19">
        <v>0</v>
      </c>
      <c r="CS163" s="19">
        <v>0</v>
      </c>
      <c r="CT163" s="19">
        <v>0</v>
      </c>
      <c r="CU163" s="19">
        <v>0</v>
      </c>
      <c r="CV163" s="19">
        <v>0</v>
      </c>
      <c r="CW163" s="19">
        <v>0</v>
      </c>
      <c r="CX163" s="19">
        <v>0</v>
      </c>
      <c r="CY163" s="19">
        <v>0</v>
      </c>
      <c r="CZ163" s="19">
        <v>0</v>
      </c>
      <c r="DA163" s="19">
        <v>0</v>
      </c>
      <c r="DB163" s="19">
        <v>0</v>
      </c>
      <c r="DC163" s="19">
        <v>0</v>
      </c>
      <c r="DD163" s="19">
        <v>0</v>
      </c>
      <c r="DE163" s="19">
        <v>0</v>
      </c>
      <c r="DF163" s="19">
        <v>0</v>
      </c>
      <c r="DG163" s="19">
        <v>0</v>
      </c>
      <c r="DH163" s="19">
        <v>0</v>
      </c>
      <c r="DI163" s="19">
        <v>0</v>
      </c>
      <c r="DJ163" s="21">
        <v>70801</v>
      </c>
      <c r="DK163" s="19">
        <v>8184557</v>
      </c>
      <c r="DL163" s="19">
        <v>6174650</v>
      </c>
      <c r="DM163" s="19">
        <v>0</v>
      </c>
      <c r="DN163" s="19">
        <v>894715</v>
      </c>
      <c r="DO163" s="19">
        <v>197600</v>
      </c>
      <c r="DP163" s="19">
        <v>441346</v>
      </c>
      <c r="DQ163" s="19">
        <v>55948</v>
      </c>
      <c r="DR163" s="19">
        <v>420298</v>
      </c>
      <c r="DS163" s="19">
        <v>0</v>
      </c>
      <c r="DT163" s="22">
        <v>0.45</v>
      </c>
    </row>
    <row r="164" spans="1:124" x14ac:dyDescent="0.35">
      <c r="A164" s="19" t="s">
        <v>285</v>
      </c>
      <c r="B164" s="19" t="s">
        <v>291</v>
      </c>
      <c r="C164" s="19">
        <v>70636.374803068378</v>
      </c>
      <c r="D164" s="19">
        <v>11301.819968490941</v>
      </c>
      <c r="E164" s="20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0</v>
      </c>
      <c r="BN164" s="19">
        <v>0</v>
      </c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>
        <v>0</v>
      </c>
      <c r="BW164" s="19">
        <v>0</v>
      </c>
      <c r="BX164" s="19">
        <v>0</v>
      </c>
      <c r="BY164" s="19">
        <v>0</v>
      </c>
      <c r="BZ164" s="19">
        <v>0</v>
      </c>
      <c r="CA164" s="19">
        <v>0</v>
      </c>
      <c r="CB164" s="19">
        <v>0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19">
        <v>0</v>
      </c>
      <c r="CL164" s="19">
        <v>0</v>
      </c>
      <c r="CM164" s="19">
        <v>0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0</v>
      </c>
      <c r="CT164" s="19">
        <v>0</v>
      </c>
      <c r="CU164" s="19">
        <v>0</v>
      </c>
      <c r="CV164" s="19">
        <v>0</v>
      </c>
      <c r="CW164" s="19">
        <v>0</v>
      </c>
      <c r="CX164" s="19">
        <v>0</v>
      </c>
      <c r="CY164" s="19">
        <v>0</v>
      </c>
      <c r="CZ164" s="19">
        <v>0</v>
      </c>
      <c r="DA164" s="19">
        <v>0</v>
      </c>
      <c r="DB164" s="19">
        <v>0</v>
      </c>
      <c r="DC164" s="19">
        <v>0</v>
      </c>
      <c r="DD164" s="19">
        <v>0</v>
      </c>
      <c r="DE164" s="19">
        <v>0</v>
      </c>
      <c r="DF164" s="19">
        <v>0</v>
      </c>
      <c r="DG164" s="19">
        <v>0</v>
      </c>
      <c r="DH164" s="19">
        <v>0</v>
      </c>
      <c r="DI164" s="19">
        <v>0</v>
      </c>
      <c r="DJ164" s="21">
        <v>70810</v>
      </c>
      <c r="DK164" s="19">
        <v>0</v>
      </c>
      <c r="DL164" s="19">
        <v>0</v>
      </c>
      <c r="DM164" s="19">
        <v>0</v>
      </c>
      <c r="DN164" s="19">
        <v>0</v>
      </c>
      <c r="DO164" s="19">
        <v>0</v>
      </c>
      <c r="DP164" s="19">
        <v>0</v>
      </c>
      <c r="DQ164" s="19">
        <v>0</v>
      </c>
      <c r="DR164" s="19">
        <v>0</v>
      </c>
      <c r="DS164" s="19">
        <v>0</v>
      </c>
      <c r="DT164" s="22">
        <v>0.4</v>
      </c>
    </row>
    <row r="165" spans="1:124" x14ac:dyDescent="0.35">
      <c r="A165" s="19" t="s">
        <v>285</v>
      </c>
      <c r="B165" s="19" t="s">
        <v>292</v>
      </c>
      <c r="C165" s="19">
        <v>66114.361282612997</v>
      </c>
      <c r="D165" s="19">
        <v>10578.297805218079</v>
      </c>
      <c r="E165" s="20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0</v>
      </c>
      <c r="BN165" s="19">
        <v>0</v>
      </c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>
        <v>0</v>
      </c>
      <c r="BW165" s="19">
        <v>0</v>
      </c>
      <c r="BX165" s="19">
        <v>0</v>
      </c>
      <c r="BY165" s="19">
        <v>0</v>
      </c>
      <c r="BZ165" s="19">
        <v>0</v>
      </c>
      <c r="CA165" s="19">
        <v>0</v>
      </c>
      <c r="CB165" s="19">
        <v>0</v>
      </c>
      <c r="CC165" s="19">
        <v>0</v>
      </c>
      <c r="CD165" s="19">
        <v>0</v>
      </c>
      <c r="CE165" s="19">
        <v>0</v>
      </c>
      <c r="CF165" s="19">
        <v>0</v>
      </c>
      <c r="CG165" s="19">
        <v>0</v>
      </c>
      <c r="CH165" s="19">
        <v>0</v>
      </c>
      <c r="CI165" s="19">
        <v>0</v>
      </c>
      <c r="CJ165" s="19">
        <v>0</v>
      </c>
      <c r="CK165" s="19">
        <v>0</v>
      </c>
      <c r="CL165" s="19">
        <v>0</v>
      </c>
      <c r="CM165" s="19">
        <v>0</v>
      </c>
      <c r="CN165" s="19">
        <v>0</v>
      </c>
      <c r="CO165" s="19">
        <v>0</v>
      </c>
      <c r="CP165" s="19">
        <v>0</v>
      </c>
      <c r="CQ165" s="19">
        <v>0</v>
      </c>
      <c r="CR165" s="19">
        <v>0</v>
      </c>
      <c r="CS165" s="19">
        <v>0</v>
      </c>
      <c r="CT165" s="19">
        <v>0</v>
      </c>
      <c r="CU165" s="19">
        <v>0</v>
      </c>
      <c r="CV165" s="19">
        <v>0</v>
      </c>
      <c r="CW165" s="19">
        <v>0</v>
      </c>
      <c r="CX165" s="19">
        <v>0</v>
      </c>
      <c r="CY165" s="19">
        <v>0</v>
      </c>
      <c r="CZ165" s="19">
        <v>0</v>
      </c>
      <c r="DA165" s="19">
        <v>0</v>
      </c>
      <c r="DB165" s="19">
        <v>0</v>
      </c>
      <c r="DC165" s="19">
        <v>0</v>
      </c>
      <c r="DD165" s="19">
        <v>0</v>
      </c>
      <c r="DE165" s="19">
        <v>0</v>
      </c>
      <c r="DF165" s="19">
        <v>0</v>
      </c>
      <c r="DG165" s="19">
        <v>0</v>
      </c>
      <c r="DH165" s="19">
        <v>0</v>
      </c>
      <c r="DI165" s="19">
        <v>0</v>
      </c>
      <c r="DJ165" s="21">
        <v>70811</v>
      </c>
      <c r="DK165" s="19">
        <v>0</v>
      </c>
      <c r="DL165" s="19">
        <v>0</v>
      </c>
      <c r="DM165" s="19">
        <v>0</v>
      </c>
      <c r="DN165" s="19">
        <v>0</v>
      </c>
      <c r="DO165" s="19">
        <v>0</v>
      </c>
      <c r="DP165" s="19">
        <v>0</v>
      </c>
      <c r="DQ165" s="19">
        <v>0</v>
      </c>
      <c r="DR165" s="19">
        <v>0</v>
      </c>
      <c r="DS165" s="19">
        <v>0</v>
      </c>
      <c r="DT165" s="22">
        <v>0.34</v>
      </c>
    </row>
    <row r="166" spans="1:124" x14ac:dyDescent="0.35">
      <c r="A166" s="19" t="s">
        <v>285</v>
      </c>
      <c r="B166" s="19" t="s">
        <v>293</v>
      </c>
      <c r="C166" s="19">
        <v>94268.829435488748</v>
      </c>
      <c r="D166" s="19">
        <v>15083.0127096782</v>
      </c>
      <c r="E166" s="20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0</v>
      </c>
      <c r="BN166" s="19">
        <v>0</v>
      </c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>
        <v>0</v>
      </c>
      <c r="BW166" s="19">
        <v>0</v>
      </c>
      <c r="BX166" s="19">
        <v>0</v>
      </c>
      <c r="BY166" s="19">
        <v>0</v>
      </c>
      <c r="BZ166" s="19">
        <v>0</v>
      </c>
      <c r="CA166" s="19">
        <v>0</v>
      </c>
      <c r="CB166" s="19">
        <v>0</v>
      </c>
      <c r="CC166" s="19">
        <v>0</v>
      </c>
      <c r="CD166" s="19">
        <v>0</v>
      </c>
      <c r="CE166" s="19">
        <v>0</v>
      </c>
      <c r="CF166" s="19">
        <v>0</v>
      </c>
      <c r="CG166" s="19">
        <v>0</v>
      </c>
      <c r="CH166" s="19">
        <v>0</v>
      </c>
      <c r="CI166" s="19">
        <v>0</v>
      </c>
      <c r="CJ166" s="19">
        <v>0</v>
      </c>
      <c r="CK166" s="19">
        <v>0</v>
      </c>
      <c r="CL166" s="19">
        <v>0</v>
      </c>
      <c r="CM166" s="19">
        <v>0</v>
      </c>
      <c r="CN166" s="19">
        <v>0</v>
      </c>
      <c r="CO166" s="19">
        <v>0</v>
      </c>
      <c r="CP166" s="19">
        <v>0</v>
      </c>
      <c r="CQ166" s="19">
        <v>0</v>
      </c>
      <c r="CR166" s="19">
        <v>0</v>
      </c>
      <c r="CS166" s="19">
        <v>0</v>
      </c>
      <c r="CT166" s="19">
        <v>0</v>
      </c>
      <c r="CU166" s="19">
        <v>0</v>
      </c>
      <c r="CV166" s="19">
        <v>0</v>
      </c>
      <c r="CW166" s="19">
        <v>0</v>
      </c>
      <c r="CX166" s="19">
        <v>0</v>
      </c>
      <c r="CY166" s="19">
        <v>0</v>
      </c>
      <c r="CZ166" s="19">
        <v>0</v>
      </c>
      <c r="DA166" s="19">
        <v>0</v>
      </c>
      <c r="DB166" s="19">
        <v>0</v>
      </c>
      <c r="DC166" s="19">
        <v>0</v>
      </c>
      <c r="DD166" s="19">
        <v>0</v>
      </c>
      <c r="DE166" s="19">
        <v>0</v>
      </c>
      <c r="DF166" s="19">
        <v>0</v>
      </c>
      <c r="DG166" s="19">
        <v>0</v>
      </c>
      <c r="DH166" s="19">
        <v>0</v>
      </c>
      <c r="DI166" s="19">
        <v>0</v>
      </c>
      <c r="DJ166" s="21">
        <v>70812</v>
      </c>
      <c r="DK166" s="19">
        <v>0</v>
      </c>
      <c r="DL166" s="19">
        <v>0</v>
      </c>
      <c r="DM166" s="19">
        <v>0</v>
      </c>
      <c r="DN166" s="19">
        <v>0</v>
      </c>
      <c r="DO166" s="19">
        <v>0</v>
      </c>
      <c r="DP166" s="19">
        <v>0</v>
      </c>
      <c r="DQ166" s="19">
        <v>0</v>
      </c>
      <c r="DR166" s="19">
        <v>0</v>
      </c>
      <c r="DS166" s="19">
        <v>0</v>
      </c>
      <c r="DT166" s="22">
        <v>0.44</v>
      </c>
    </row>
    <row r="167" spans="1:124" x14ac:dyDescent="0.35">
      <c r="A167" s="19" t="s">
        <v>285</v>
      </c>
      <c r="B167" s="19" t="s">
        <v>294</v>
      </c>
      <c r="C167" s="19">
        <v>91246.963972976009</v>
      </c>
      <c r="D167" s="19">
        <v>14599.514235676161</v>
      </c>
      <c r="E167" s="20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>
        <v>0</v>
      </c>
      <c r="BW167" s="19">
        <v>0</v>
      </c>
      <c r="BX167" s="19">
        <v>0</v>
      </c>
      <c r="BY167" s="19">
        <v>0</v>
      </c>
      <c r="BZ167" s="19">
        <v>0</v>
      </c>
      <c r="CA167" s="19">
        <v>0</v>
      </c>
      <c r="CB167" s="19">
        <v>0</v>
      </c>
      <c r="CC167" s="19">
        <v>0</v>
      </c>
      <c r="CD167" s="19">
        <v>0</v>
      </c>
      <c r="CE167" s="19">
        <v>0</v>
      </c>
      <c r="CF167" s="19">
        <v>0</v>
      </c>
      <c r="CG167" s="19">
        <v>0</v>
      </c>
      <c r="CH167" s="19">
        <v>0</v>
      </c>
      <c r="CI167" s="19">
        <v>0</v>
      </c>
      <c r="CJ167" s="19">
        <v>0</v>
      </c>
      <c r="CK167" s="19">
        <v>0</v>
      </c>
      <c r="CL167" s="19">
        <v>0</v>
      </c>
      <c r="CM167" s="19">
        <v>0</v>
      </c>
      <c r="CN167" s="19">
        <v>0</v>
      </c>
      <c r="CO167" s="19">
        <v>0</v>
      </c>
      <c r="CP167" s="19">
        <v>0</v>
      </c>
      <c r="CQ167" s="19">
        <v>0</v>
      </c>
      <c r="CR167" s="19">
        <v>0</v>
      </c>
      <c r="CS167" s="19">
        <v>0</v>
      </c>
      <c r="CT167" s="19">
        <v>0</v>
      </c>
      <c r="CU167" s="19">
        <v>0</v>
      </c>
      <c r="CV167" s="19">
        <v>0</v>
      </c>
      <c r="CW167" s="19">
        <v>0</v>
      </c>
      <c r="CX167" s="19">
        <v>0</v>
      </c>
      <c r="CY167" s="19">
        <v>0</v>
      </c>
      <c r="CZ167" s="19">
        <v>0</v>
      </c>
      <c r="DA167" s="19">
        <v>0</v>
      </c>
      <c r="DB167" s="19">
        <v>0</v>
      </c>
      <c r="DC167" s="19">
        <v>0</v>
      </c>
      <c r="DD167" s="19">
        <v>0</v>
      </c>
      <c r="DE167" s="19">
        <v>0</v>
      </c>
      <c r="DF167" s="19">
        <v>0</v>
      </c>
      <c r="DG167" s="19">
        <v>0</v>
      </c>
      <c r="DH167" s="19">
        <v>0</v>
      </c>
      <c r="DI167" s="19">
        <v>0</v>
      </c>
      <c r="DJ167" s="21">
        <v>70813</v>
      </c>
      <c r="DK167" s="19">
        <v>0</v>
      </c>
      <c r="DL167" s="19">
        <v>0</v>
      </c>
      <c r="DM167" s="19">
        <v>0</v>
      </c>
      <c r="DN167" s="19">
        <v>0</v>
      </c>
      <c r="DO167" s="19">
        <v>0</v>
      </c>
      <c r="DP167" s="19">
        <v>0</v>
      </c>
      <c r="DQ167" s="19">
        <v>0</v>
      </c>
      <c r="DR167" s="19">
        <v>0</v>
      </c>
      <c r="DS167" s="19">
        <v>0</v>
      </c>
      <c r="DT167" s="22">
        <v>0.39</v>
      </c>
    </row>
    <row r="168" spans="1:124" x14ac:dyDescent="0.35">
      <c r="A168" s="19" t="s">
        <v>285</v>
      </c>
      <c r="B168" s="19" t="s">
        <v>295</v>
      </c>
      <c r="C168" s="19">
        <v>300768.36171051685</v>
      </c>
      <c r="D168" s="19">
        <v>48122.937873682698</v>
      </c>
      <c r="E168" s="20">
        <v>113488</v>
      </c>
      <c r="F168" s="19">
        <v>0</v>
      </c>
      <c r="G168" s="19">
        <v>0</v>
      </c>
      <c r="H168" s="19">
        <v>0</v>
      </c>
      <c r="I168" s="19">
        <v>112788</v>
      </c>
      <c r="J168" s="19">
        <v>0</v>
      </c>
      <c r="K168" s="19">
        <v>6</v>
      </c>
      <c r="L168" s="19">
        <v>0</v>
      </c>
      <c r="M168" s="19">
        <v>38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559</v>
      </c>
      <c r="V168" s="19">
        <v>0</v>
      </c>
      <c r="W168" s="19">
        <v>0</v>
      </c>
      <c r="X168" s="19">
        <v>0</v>
      </c>
      <c r="Y168" s="19">
        <v>12</v>
      </c>
      <c r="Z168" s="19">
        <v>35</v>
      </c>
      <c r="AA168" s="19">
        <v>0</v>
      </c>
      <c r="AB168" s="19">
        <v>50</v>
      </c>
      <c r="AC168" s="19">
        <v>0</v>
      </c>
      <c r="AD168" s="19">
        <v>1178.48</v>
      </c>
      <c r="AE168" s="19">
        <v>1127.8800000000001</v>
      </c>
      <c r="AF168" s="19">
        <v>7.6</v>
      </c>
      <c r="AG168" s="19">
        <v>0</v>
      </c>
      <c r="AH168" s="19">
        <v>43</v>
      </c>
      <c r="AI168" s="19">
        <v>0</v>
      </c>
      <c r="AJ168" s="19">
        <v>0</v>
      </c>
      <c r="AK168" s="19">
        <v>985</v>
      </c>
      <c r="AL168" s="19">
        <v>941</v>
      </c>
      <c r="AM168" s="19">
        <v>5</v>
      </c>
      <c r="AN168" s="19">
        <v>0</v>
      </c>
      <c r="AO168" s="19">
        <v>39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>
        <v>0</v>
      </c>
      <c r="BC168" s="19">
        <v>1</v>
      </c>
      <c r="BD168" s="19">
        <v>1</v>
      </c>
      <c r="BE168" s="19">
        <v>0</v>
      </c>
      <c r="BF168" s="19">
        <v>0</v>
      </c>
      <c r="BG168" s="19">
        <v>0</v>
      </c>
      <c r="BH168" s="19">
        <v>1</v>
      </c>
      <c r="BI168" s="19">
        <v>2</v>
      </c>
      <c r="BJ168" s="19">
        <v>0</v>
      </c>
      <c r="BK168" s="19">
        <v>0</v>
      </c>
      <c r="BL168" s="19">
        <v>0</v>
      </c>
      <c r="BM168" s="19">
        <v>0</v>
      </c>
      <c r="BN168" s="19">
        <v>0</v>
      </c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>
        <v>0</v>
      </c>
      <c r="BW168" s="19">
        <v>1</v>
      </c>
      <c r="BX168" s="19">
        <v>0</v>
      </c>
      <c r="BY168" s="19">
        <v>0</v>
      </c>
      <c r="BZ168" s="19">
        <v>0</v>
      </c>
      <c r="CA168" s="19">
        <v>0</v>
      </c>
      <c r="CB168" s="19">
        <v>0</v>
      </c>
      <c r="CC168" s="19">
        <v>0</v>
      </c>
      <c r="CD168" s="19">
        <v>0</v>
      </c>
      <c r="CE168" s="19">
        <v>0</v>
      </c>
      <c r="CF168" s="19">
        <v>0</v>
      </c>
      <c r="CG168" s="19">
        <v>0</v>
      </c>
      <c r="CH168" s="19">
        <v>0</v>
      </c>
      <c r="CI168" s="19">
        <v>0</v>
      </c>
      <c r="CJ168" s="19">
        <v>0</v>
      </c>
      <c r="CK168" s="19">
        <v>0</v>
      </c>
      <c r="CL168" s="19">
        <v>0</v>
      </c>
      <c r="CM168" s="19">
        <v>0</v>
      </c>
      <c r="CN168" s="19">
        <v>0</v>
      </c>
      <c r="CO168" s="19">
        <v>0</v>
      </c>
      <c r="CP168" s="19">
        <v>0</v>
      </c>
      <c r="CQ168" s="19">
        <v>0</v>
      </c>
      <c r="CR168" s="19">
        <v>0</v>
      </c>
      <c r="CS168" s="19">
        <v>0</v>
      </c>
      <c r="CT168" s="19">
        <v>0</v>
      </c>
      <c r="CU168" s="19">
        <v>0</v>
      </c>
      <c r="CV168" s="19">
        <v>0</v>
      </c>
      <c r="CW168" s="19">
        <v>0</v>
      </c>
      <c r="CX168" s="19">
        <v>0</v>
      </c>
      <c r="CY168" s="19">
        <v>0</v>
      </c>
      <c r="CZ168" s="19">
        <v>0</v>
      </c>
      <c r="DA168" s="19">
        <v>0</v>
      </c>
      <c r="DB168" s="19">
        <v>0</v>
      </c>
      <c r="DC168" s="19">
        <v>0</v>
      </c>
      <c r="DD168" s="19">
        <v>0</v>
      </c>
      <c r="DE168" s="19">
        <v>0</v>
      </c>
      <c r="DF168" s="19">
        <v>0</v>
      </c>
      <c r="DG168" s="19">
        <v>0</v>
      </c>
      <c r="DH168" s="19">
        <v>0</v>
      </c>
      <c r="DI168" s="19">
        <v>0</v>
      </c>
      <c r="DJ168" s="21">
        <v>70805</v>
      </c>
      <c r="DK168" s="19">
        <v>2231937</v>
      </c>
      <c r="DL168" s="19">
        <v>2199095</v>
      </c>
      <c r="DM168" s="19">
        <v>0</v>
      </c>
      <c r="DN168" s="19">
        <v>2759</v>
      </c>
      <c r="DO168" s="19">
        <v>0</v>
      </c>
      <c r="DP168" s="19">
        <v>15270</v>
      </c>
      <c r="DQ168" s="19">
        <v>3242</v>
      </c>
      <c r="DR168" s="19">
        <v>11571</v>
      </c>
      <c r="DS168" s="19">
        <v>0</v>
      </c>
      <c r="DT168" s="22">
        <v>0.41</v>
      </c>
    </row>
    <row r="169" spans="1:124" x14ac:dyDescent="0.35">
      <c r="A169" s="19" t="s">
        <v>285</v>
      </c>
      <c r="B169" s="19" t="s">
        <v>296</v>
      </c>
      <c r="C169" s="19">
        <v>58613</v>
      </c>
      <c r="D169" s="19">
        <v>9722.4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9">
        <v>0</v>
      </c>
      <c r="CH169" s="19">
        <v>0</v>
      </c>
      <c r="CI169" s="19">
        <v>0</v>
      </c>
      <c r="CJ169" s="19">
        <v>0</v>
      </c>
      <c r="CK169" s="19">
        <v>0</v>
      </c>
      <c r="CL169" s="19">
        <v>0</v>
      </c>
      <c r="CM169" s="19">
        <v>0</v>
      </c>
      <c r="CN169" s="19">
        <v>0</v>
      </c>
      <c r="CO169" s="19">
        <v>0</v>
      </c>
      <c r="CP169" s="19">
        <v>0</v>
      </c>
      <c r="CQ169" s="19">
        <v>0</v>
      </c>
      <c r="CR169" s="19">
        <v>0</v>
      </c>
      <c r="CS169" s="19">
        <v>0</v>
      </c>
      <c r="CT169" s="19">
        <v>0</v>
      </c>
      <c r="CU169" s="19">
        <v>0</v>
      </c>
      <c r="CV169" s="19">
        <v>0</v>
      </c>
      <c r="CW169" s="19">
        <v>0</v>
      </c>
      <c r="CX169" s="19">
        <v>0</v>
      </c>
      <c r="CY169" s="19">
        <v>0</v>
      </c>
      <c r="CZ169" s="19">
        <v>0</v>
      </c>
      <c r="DA169" s="19">
        <v>0</v>
      </c>
      <c r="DB169" s="19">
        <v>0</v>
      </c>
      <c r="DC169" s="19">
        <v>0</v>
      </c>
      <c r="DD169" s="19">
        <v>0</v>
      </c>
      <c r="DE169" s="19">
        <v>0</v>
      </c>
      <c r="DF169" s="19">
        <v>0</v>
      </c>
      <c r="DG169" s="19">
        <v>0</v>
      </c>
      <c r="DH169" s="19">
        <v>0</v>
      </c>
      <c r="DI169" s="19">
        <v>0</v>
      </c>
      <c r="DJ169" s="24">
        <v>70814</v>
      </c>
      <c r="DK169" s="19">
        <v>0</v>
      </c>
      <c r="DL169" s="19">
        <v>0</v>
      </c>
      <c r="DM169" s="19">
        <v>0</v>
      </c>
      <c r="DN169" s="19">
        <v>0</v>
      </c>
      <c r="DO169" s="19">
        <v>0</v>
      </c>
      <c r="DP169" s="19">
        <v>0</v>
      </c>
      <c r="DQ169" s="19">
        <v>0</v>
      </c>
      <c r="DR169" s="19">
        <v>0</v>
      </c>
      <c r="DS169" s="19">
        <v>0</v>
      </c>
      <c r="DT169" s="22">
        <v>0.1</v>
      </c>
    </row>
    <row r="170" spans="1:124" x14ac:dyDescent="0.35">
      <c r="A170" s="19" t="s">
        <v>285</v>
      </c>
      <c r="B170" s="19" t="s">
        <v>297</v>
      </c>
      <c r="C170" s="19">
        <v>103075</v>
      </c>
      <c r="D170" s="19">
        <v>16458.240000000002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0</v>
      </c>
      <c r="CD170" s="19">
        <v>0</v>
      </c>
      <c r="CE170" s="19">
        <v>0</v>
      </c>
      <c r="CF170" s="19">
        <v>0</v>
      </c>
      <c r="CG170" s="19">
        <v>0</v>
      </c>
      <c r="CH170" s="19">
        <v>0</v>
      </c>
      <c r="CI170" s="19">
        <v>0</v>
      </c>
      <c r="CJ170" s="19">
        <v>0</v>
      </c>
      <c r="CK170" s="19">
        <v>0</v>
      </c>
      <c r="CL170" s="19">
        <v>0</v>
      </c>
      <c r="CM170" s="19">
        <v>0</v>
      </c>
      <c r="CN170" s="19">
        <v>0</v>
      </c>
      <c r="CO170" s="19">
        <v>0</v>
      </c>
      <c r="CP170" s="19">
        <v>0</v>
      </c>
      <c r="CQ170" s="19">
        <v>0</v>
      </c>
      <c r="CR170" s="19">
        <v>0</v>
      </c>
      <c r="CS170" s="19">
        <v>0</v>
      </c>
      <c r="CT170" s="19">
        <v>0</v>
      </c>
      <c r="CU170" s="19">
        <v>0</v>
      </c>
      <c r="CV170" s="19">
        <v>0</v>
      </c>
      <c r="CW170" s="19">
        <v>0</v>
      </c>
      <c r="CX170" s="19">
        <v>0</v>
      </c>
      <c r="CY170" s="19">
        <v>0</v>
      </c>
      <c r="CZ170" s="19">
        <v>0</v>
      </c>
      <c r="DA170" s="19">
        <v>0</v>
      </c>
      <c r="DB170" s="19">
        <v>0</v>
      </c>
      <c r="DC170" s="19">
        <v>0</v>
      </c>
      <c r="DD170" s="19">
        <v>0</v>
      </c>
      <c r="DE170" s="19">
        <v>0</v>
      </c>
      <c r="DF170" s="19">
        <v>0</v>
      </c>
      <c r="DG170" s="19">
        <v>0</v>
      </c>
      <c r="DH170" s="19">
        <v>0</v>
      </c>
      <c r="DI170" s="19">
        <v>0</v>
      </c>
      <c r="DJ170" s="24">
        <v>70815</v>
      </c>
      <c r="DK170" s="19">
        <v>0</v>
      </c>
      <c r="DL170" s="19">
        <v>0</v>
      </c>
      <c r="DM170" s="19">
        <v>0</v>
      </c>
      <c r="DN170" s="19">
        <v>0</v>
      </c>
      <c r="DO170" s="19">
        <v>0</v>
      </c>
      <c r="DP170" s="19">
        <v>0</v>
      </c>
      <c r="DQ170" s="19">
        <v>0</v>
      </c>
      <c r="DR170" s="19">
        <v>0</v>
      </c>
      <c r="DS170" s="19">
        <v>0</v>
      </c>
      <c r="DT170" s="22">
        <v>0.39</v>
      </c>
    </row>
    <row r="171" spans="1:124" x14ac:dyDescent="0.35">
      <c r="A171" s="19" t="s">
        <v>285</v>
      </c>
      <c r="B171" s="19" t="s">
        <v>298</v>
      </c>
      <c r="C171" s="19">
        <v>34947</v>
      </c>
      <c r="D171" s="19">
        <v>5591.52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  <c r="BV171" s="19">
        <v>0</v>
      </c>
      <c r="BW171" s="19">
        <v>0</v>
      </c>
      <c r="BX171" s="19">
        <v>0</v>
      </c>
      <c r="BY171" s="19">
        <v>0</v>
      </c>
      <c r="BZ171" s="19">
        <v>0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9">
        <v>0</v>
      </c>
      <c r="CH171" s="19">
        <v>0</v>
      </c>
      <c r="CI171" s="19">
        <v>0</v>
      </c>
      <c r="CJ171" s="19">
        <v>0</v>
      </c>
      <c r="CK171" s="19">
        <v>0</v>
      </c>
      <c r="CL171" s="19">
        <v>0</v>
      </c>
      <c r="CM171" s="19">
        <v>0</v>
      </c>
      <c r="CN171" s="19">
        <v>0</v>
      </c>
      <c r="CO171" s="19">
        <v>0</v>
      </c>
      <c r="CP171" s="19">
        <v>0</v>
      </c>
      <c r="CQ171" s="19">
        <v>0</v>
      </c>
      <c r="CR171" s="19">
        <v>0</v>
      </c>
      <c r="CS171" s="19">
        <v>0</v>
      </c>
      <c r="CT171" s="19">
        <v>0</v>
      </c>
      <c r="CU171" s="19">
        <v>0</v>
      </c>
      <c r="CV171" s="19">
        <v>0</v>
      </c>
      <c r="CW171" s="19">
        <v>0</v>
      </c>
      <c r="CX171" s="19">
        <v>0</v>
      </c>
      <c r="CY171" s="19">
        <v>0</v>
      </c>
      <c r="CZ171" s="19">
        <v>0</v>
      </c>
      <c r="DA171" s="19">
        <v>0</v>
      </c>
      <c r="DB171" s="19">
        <v>0</v>
      </c>
      <c r="DC171" s="19">
        <v>0</v>
      </c>
      <c r="DD171" s="19">
        <v>0</v>
      </c>
      <c r="DE171" s="19">
        <v>0</v>
      </c>
      <c r="DF171" s="19">
        <v>0</v>
      </c>
      <c r="DG171" s="19">
        <v>0</v>
      </c>
      <c r="DH171" s="19">
        <v>0</v>
      </c>
      <c r="DI171" s="19">
        <v>0</v>
      </c>
      <c r="DJ171" s="24">
        <v>70816</v>
      </c>
      <c r="DK171" s="19">
        <v>0</v>
      </c>
      <c r="DL171" s="19">
        <v>0</v>
      </c>
      <c r="DM171" s="19">
        <v>0</v>
      </c>
      <c r="DN171" s="19">
        <v>0</v>
      </c>
      <c r="DO171" s="19">
        <v>0</v>
      </c>
      <c r="DP171" s="19">
        <v>0</v>
      </c>
      <c r="DQ171" s="19">
        <v>0</v>
      </c>
      <c r="DR171" s="19">
        <v>0</v>
      </c>
      <c r="DS171" s="19">
        <v>0</v>
      </c>
      <c r="DT171" s="22">
        <v>0.1</v>
      </c>
    </row>
    <row r="172" spans="1:124" x14ac:dyDescent="0.35">
      <c r="A172" s="19" t="s">
        <v>285</v>
      </c>
      <c r="B172" s="19" t="s">
        <v>299</v>
      </c>
      <c r="C172" s="19">
        <v>40808</v>
      </c>
      <c r="D172" s="19">
        <v>6529.28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  <c r="BV172" s="19">
        <v>0</v>
      </c>
      <c r="BW172" s="19">
        <v>0</v>
      </c>
      <c r="BX172" s="19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19">
        <v>0</v>
      </c>
      <c r="CL172" s="19">
        <v>0</v>
      </c>
      <c r="CM172" s="19">
        <v>0</v>
      </c>
      <c r="CN172" s="19">
        <v>0</v>
      </c>
      <c r="CO172" s="19">
        <v>0</v>
      </c>
      <c r="CP172" s="19">
        <v>0</v>
      </c>
      <c r="CQ172" s="19">
        <v>0</v>
      </c>
      <c r="CR172" s="19">
        <v>0</v>
      </c>
      <c r="CS172" s="19">
        <v>0</v>
      </c>
      <c r="CT172" s="19">
        <v>0</v>
      </c>
      <c r="CU172" s="19">
        <v>0</v>
      </c>
      <c r="CV172" s="19">
        <v>0</v>
      </c>
      <c r="CW172" s="19">
        <v>0</v>
      </c>
      <c r="CX172" s="19">
        <v>0</v>
      </c>
      <c r="CY172" s="19">
        <v>0</v>
      </c>
      <c r="CZ172" s="19">
        <v>0</v>
      </c>
      <c r="DA172" s="19">
        <v>0</v>
      </c>
      <c r="DB172" s="19">
        <v>0</v>
      </c>
      <c r="DC172" s="19">
        <v>0</v>
      </c>
      <c r="DD172" s="19">
        <v>0</v>
      </c>
      <c r="DE172" s="19">
        <v>0</v>
      </c>
      <c r="DF172" s="19">
        <v>0</v>
      </c>
      <c r="DG172" s="19">
        <v>0</v>
      </c>
      <c r="DH172" s="19">
        <v>0</v>
      </c>
      <c r="DI172" s="19">
        <v>0</v>
      </c>
      <c r="DJ172" s="24">
        <v>70817</v>
      </c>
      <c r="DK172" s="19">
        <v>0</v>
      </c>
      <c r="DL172" s="19">
        <v>0</v>
      </c>
      <c r="DM172" s="19">
        <v>0</v>
      </c>
      <c r="DN172" s="19">
        <v>0</v>
      </c>
      <c r="DO172" s="19">
        <v>0</v>
      </c>
      <c r="DP172" s="19">
        <v>0</v>
      </c>
      <c r="DQ172" s="19">
        <v>0</v>
      </c>
      <c r="DR172" s="19">
        <v>0</v>
      </c>
      <c r="DS172" s="19">
        <v>0</v>
      </c>
      <c r="DT172" s="26">
        <v>0</v>
      </c>
    </row>
  </sheetData>
  <autoFilter ref="A1:DT172" xr:uid="{46128072-6234-42AF-8848-911666A7B5D0}"/>
  <pageMargins left="0.7" right="0.17" top="0.17" bottom="0.17" header="0.17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GSM Districts Profile</vt:lpstr>
      <vt:lpstr>'GSM Districts Profile'!Print_Area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Tafseer</dc:creator>
  <cp:lastModifiedBy>Muhammad Tafseer</cp:lastModifiedBy>
  <dcterms:created xsi:type="dcterms:W3CDTF">2026-10-22T07:32:09Z</dcterms:created>
  <dcterms:modified xsi:type="dcterms:W3CDTF">2026-10-22T07:33:30Z</dcterms:modified>
</cp:coreProperties>
</file>